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hp\Documents\Projet_Niv4\AvecR\Projet_Planning\"/>
    </mc:Choice>
  </mc:AlternateContent>
  <xr:revisionPtr revIDLastSave="0" documentId="13_ncr:1_{62174993-B68C-45A8-B46A-F881062B596D}" xr6:coauthVersionLast="47" xr6:coauthVersionMax="47" xr10:uidLastSave="{00000000-0000-0000-0000-000000000000}"/>
  <bookViews>
    <workbookView xWindow="-108" yWindow="-108" windowWidth="23256" windowHeight="12456" activeTab="3" xr2:uid="{4176DBDE-59F7-4EFD-9BF0-37594D3F3877}"/>
  </bookViews>
  <sheets>
    <sheet name="Feuil1" sheetId="4" r:id="rId1"/>
    <sheet name="Micro-planning" sheetId="3" r:id="rId2"/>
    <sheet name="Macro-planning" sheetId="5" r:id="rId3"/>
    <sheet name="Macro" sheetId="2" r:id="rId4"/>
  </sheets>
  <definedNames>
    <definedName name="_xlnm._FilterDatabase" localSheetId="3" hidden="1">Macro!$A$1:$E$1</definedName>
    <definedName name="_xlnm._FilterDatabase" localSheetId="2" hidden="1">'Macro-planning'!$B$12:$T$12</definedName>
    <definedName name="_xlnm._FilterDatabase" localSheetId="1" hidden="1">'Micro-planning'!$B$2:$J$26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" i="2" l="1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1" i="2"/>
  <c r="F22" i="2"/>
  <c r="F23" i="2"/>
  <c r="F24" i="2"/>
  <c r="F25" i="2"/>
  <c r="F2" i="2"/>
  <c r="F36" i="5" l="1"/>
  <c r="E36" i="5"/>
  <c r="D36" i="5"/>
  <c r="C36" i="5"/>
  <c r="B36" i="5"/>
  <c r="F35" i="5"/>
  <c r="E35" i="5"/>
  <c r="D35" i="5"/>
  <c r="V35" i="5" s="1"/>
  <c r="C35" i="5"/>
  <c r="B35" i="5"/>
  <c r="F34" i="5"/>
  <c r="E34" i="5"/>
  <c r="D34" i="5"/>
  <c r="Z34" i="5" s="1"/>
  <c r="C34" i="5"/>
  <c r="B34" i="5"/>
  <c r="F33" i="5"/>
  <c r="E33" i="5"/>
  <c r="D33" i="5"/>
  <c r="C33" i="5"/>
  <c r="B33" i="5"/>
  <c r="F32" i="5"/>
  <c r="E32" i="5"/>
  <c r="D32" i="5"/>
  <c r="U32" i="5" s="1"/>
  <c r="C32" i="5"/>
  <c r="B32" i="5"/>
  <c r="F31" i="5"/>
  <c r="D31" i="5"/>
  <c r="V31" i="5" s="1"/>
  <c r="C31" i="5"/>
  <c r="B31" i="5"/>
  <c r="F30" i="5"/>
  <c r="E30" i="5"/>
  <c r="D30" i="5"/>
  <c r="Z30" i="5" s="1"/>
  <c r="C30" i="5"/>
  <c r="B30" i="5"/>
  <c r="F29" i="5"/>
  <c r="E29" i="5"/>
  <c r="D29" i="5"/>
  <c r="C29" i="5"/>
  <c r="B29" i="5"/>
  <c r="U28" i="5"/>
  <c r="F28" i="5"/>
  <c r="E28" i="5"/>
  <c r="D28" i="5"/>
  <c r="C28" i="5"/>
  <c r="B28" i="5"/>
  <c r="F27" i="5"/>
  <c r="E27" i="5"/>
  <c r="D27" i="5"/>
  <c r="Z27" i="5" s="1"/>
  <c r="C27" i="5"/>
  <c r="B27" i="5"/>
  <c r="F26" i="5"/>
  <c r="E26" i="5"/>
  <c r="D26" i="5"/>
  <c r="C26" i="5"/>
  <c r="B26" i="5"/>
  <c r="V25" i="5"/>
  <c r="U25" i="5"/>
  <c r="F25" i="5"/>
  <c r="E25" i="5"/>
  <c r="D25" i="5"/>
  <c r="C25" i="5"/>
  <c r="B25" i="5"/>
  <c r="F24" i="5"/>
  <c r="E24" i="5"/>
  <c r="D24" i="5"/>
  <c r="C24" i="5"/>
  <c r="B24" i="5"/>
  <c r="F23" i="5"/>
  <c r="E23" i="5"/>
  <c r="D23" i="5"/>
  <c r="C23" i="5"/>
  <c r="B23" i="5"/>
  <c r="F22" i="5"/>
  <c r="E22" i="5"/>
  <c r="D22" i="5"/>
  <c r="C22" i="5"/>
  <c r="B22" i="5"/>
  <c r="F21" i="5"/>
  <c r="E21" i="5"/>
  <c r="D21" i="5"/>
  <c r="C21" i="5"/>
  <c r="B21" i="5"/>
  <c r="F20" i="5"/>
  <c r="E20" i="5"/>
  <c r="D20" i="5"/>
  <c r="C20" i="5"/>
  <c r="B20" i="5"/>
  <c r="V19" i="5"/>
  <c r="U19" i="5"/>
  <c r="F19" i="5"/>
  <c r="E19" i="5"/>
  <c r="D19" i="5"/>
  <c r="C19" i="5"/>
  <c r="B19" i="5"/>
  <c r="F18" i="5"/>
  <c r="E18" i="5"/>
  <c r="D18" i="5"/>
  <c r="C18" i="5"/>
  <c r="B18" i="5"/>
  <c r="F17" i="5"/>
  <c r="E17" i="5"/>
  <c r="D17" i="5"/>
  <c r="C17" i="5"/>
  <c r="B17" i="5"/>
  <c r="F16" i="5"/>
  <c r="E16" i="5"/>
  <c r="D16" i="5"/>
  <c r="C16" i="5"/>
  <c r="B16" i="5"/>
  <c r="U15" i="5"/>
  <c r="F15" i="5"/>
  <c r="E15" i="5"/>
  <c r="V15" i="5" s="1"/>
  <c r="D15" i="5"/>
  <c r="C15" i="5"/>
  <c r="B15" i="5"/>
  <c r="F14" i="5"/>
  <c r="E14" i="5"/>
  <c r="D14" i="5"/>
  <c r="V14" i="5" s="1"/>
  <c r="C14" i="5"/>
  <c r="B14" i="5"/>
  <c r="F13" i="5"/>
  <c r="E13" i="5"/>
  <c r="D13" i="5"/>
  <c r="C13" i="5"/>
  <c r="B13" i="5"/>
  <c r="AA11" i="5"/>
  <c r="X11" i="5"/>
  <c r="W26" i="5" s="1"/>
  <c r="V11" i="5"/>
  <c r="W11" i="5" s="1"/>
  <c r="H11" i="5"/>
  <c r="G28" i="5" s="1"/>
  <c r="U29" i="5" l="1"/>
  <c r="V18" i="5"/>
  <c r="U21" i="5"/>
  <c r="U27" i="5"/>
  <c r="U13" i="5"/>
  <c r="V26" i="5"/>
  <c r="V24" i="5"/>
  <c r="U22" i="5"/>
  <c r="G22" i="5"/>
  <c r="V22" i="5"/>
  <c r="V23" i="5"/>
  <c r="U23" i="5"/>
  <c r="W23" i="5"/>
  <c r="H16" i="5"/>
  <c r="G16" i="5"/>
  <c r="V17" i="5"/>
  <c r="U17" i="5"/>
  <c r="W17" i="5"/>
  <c r="W22" i="5"/>
  <c r="U24" i="5"/>
  <c r="G27" i="5"/>
  <c r="X35" i="5"/>
  <c r="X27" i="5"/>
  <c r="W35" i="5"/>
  <c r="W27" i="5"/>
  <c r="W24" i="5"/>
  <c r="W18" i="5"/>
  <c r="W13" i="5"/>
  <c r="X25" i="5"/>
  <c r="W19" i="5"/>
  <c r="W14" i="5"/>
  <c r="W34" i="5"/>
  <c r="H17" i="5"/>
  <c r="G31" i="5"/>
  <c r="G29" i="5"/>
  <c r="G21" i="5"/>
  <c r="I11" i="5"/>
  <c r="Y11" i="5"/>
  <c r="X16" i="5" s="1"/>
  <c r="U16" i="5"/>
  <c r="X20" i="5"/>
  <c r="W20" i="5"/>
  <c r="G20" i="5"/>
  <c r="Z20" i="5"/>
  <c r="G35" i="5"/>
  <c r="Z36" i="5"/>
  <c r="Y36" i="5"/>
  <c r="W36" i="5"/>
  <c r="V36" i="5"/>
  <c r="U36" i="5"/>
  <c r="G36" i="5"/>
  <c r="Z25" i="5"/>
  <c r="Z17" i="5"/>
  <c r="Z19" i="5"/>
  <c r="Z15" i="5"/>
  <c r="Z28" i="5"/>
  <c r="Z35" i="5"/>
  <c r="Z21" i="5"/>
  <c r="Z31" i="5"/>
  <c r="Z29" i="5"/>
  <c r="G13" i="5"/>
  <c r="V16" i="5"/>
  <c r="U18" i="5"/>
  <c r="G23" i="5"/>
  <c r="G24" i="5"/>
  <c r="Z24" i="5"/>
  <c r="G25" i="5"/>
  <c r="H30" i="5"/>
  <c r="U30" i="5"/>
  <c r="W30" i="5"/>
  <c r="V30" i="5"/>
  <c r="G30" i="5"/>
  <c r="Z32" i="5"/>
  <c r="X32" i="5"/>
  <c r="W32" i="5"/>
  <c r="V32" i="5"/>
  <c r="H35" i="5"/>
  <c r="AB11" i="5"/>
  <c r="Z13" i="5"/>
  <c r="G14" i="5"/>
  <c r="W16" i="5"/>
  <c r="G17" i="5"/>
  <c r="G19" i="5"/>
  <c r="U20" i="5"/>
  <c r="W21" i="5"/>
  <c r="Z22" i="5"/>
  <c r="Z23" i="5"/>
  <c r="W25" i="5"/>
  <c r="G15" i="5"/>
  <c r="H19" i="5"/>
  <c r="V20" i="5"/>
  <c r="X33" i="5"/>
  <c r="G34" i="5"/>
  <c r="W15" i="5"/>
  <c r="Z16" i="5"/>
  <c r="Y20" i="5"/>
  <c r="W29" i="5"/>
  <c r="W31" i="5"/>
  <c r="G32" i="5"/>
  <c r="U33" i="5"/>
  <c r="H33" i="5"/>
  <c r="W33" i="5"/>
  <c r="V33" i="5"/>
  <c r="G33" i="5"/>
  <c r="X31" i="5"/>
  <c r="Z33" i="5"/>
  <c r="X26" i="5"/>
  <c r="Z26" i="5"/>
  <c r="G26" i="5"/>
  <c r="U26" i="5"/>
  <c r="V27" i="5"/>
  <c r="X34" i="5"/>
  <c r="V34" i="5"/>
  <c r="U34" i="5"/>
  <c r="X14" i="5"/>
  <c r="U14" i="5"/>
  <c r="Y14" i="5"/>
  <c r="Z14" i="5"/>
  <c r="Z18" i="5"/>
  <c r="G18" i="5"/>
  <c r="H28" i="5"/>
  <c r="V28" i="5"/>
  <c r="V13" i="5"/>
  <c r="V21" i="5"/>
  <c r="W28" i="5"/>
  <c r="V29" i="5"/>
  <c r="U31" i="5"/>
  <c r="U35" i="5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4" i="3"/>
  <c r="F3" i="3"/>
  <c r="I3" i="4" a="1"/>
  <c r="I3" i="4" s="1"/>
  <c r="K3" i="4" s="1"/>
  <c r="G4" i="4"/>
  <c r="G5" i="4"/>
  <c r="G6" i="4"/>
  <c r="G3" i="4"/>
  <c r="AC11" i="5" l="1"/>
  <c r="AB34" i="5"/>
  <c r="AB28" i="5"/>
  <c r="AA20" i="5"/>
  <c r="AA16" i="5"/>
  <c r="AA17" i="5"/>
  <c r="AA18" i="5"/>
  <c r="X29" i="5"/>
  <c r="AA19" i="5"/>
  <c r="Y22" i="5"/>
  <c r="J11" i="5"/>
  <c r="I17" i="5"/>
  <c r="I35" i="5"/>
  <c r="I15" i="5"/>
  <c r="I19" i="5"/>
  <c r="I21" i="5"/>
  <c r="I25" i="5"/>
  <c r="I24" i="5"/>
  <c r="I18" i="5"/>
  <c r="I28" i="5"/>
  <c r="H29" i="5"/>
  <c r="I31" i="5"/>
  <c r="H31" i="5"/>
  <c r="AA22" i="5"/>
  <c r="I22" i="5"/>
  <c r="AA15" i="5"/>
  <c r="AA26" i="5"/>
  <c r="AA35" i="5"/>
  <c r="AA34" i="5"/>
  <c r="Y25" i="5"/>
  <c r="Y19" i="5"/>
  <c r="Y15" i="5"/>
  <c r="Y28" i="5"/>
  <c r="Y35" i="5"/>
  <c r="Y31" i="5"/>
  <c r="Y29" i="5"/>
  <c r="Y21" i="5"/>
  <c r="Y17" i="5"/>
  <c r="Y26" i="5"/>
  <c r="Y23" i="5"/>
  <c r="Y13" i="5"/>
  <c r="Y27" i="5"/>
  <c r="AB24" i="5"/>
  <c r="Y34" i="5"/>
  <c r="Y33" i="5"/>
  <c r="AA23" i="5"/>
  <c r="Y16" i="5"/>
  <c r="AA24" i="5"/>
  <c r="AA32" i="5"/>
  <c r="AB20" i="5"/>
  <c r="H25" i="5"/>
  <c r="H22" i="5"/>
  <c r="H24" i="5"/>
  <c r="H18" i="5"/>
  <c r="AB27" i="5"/>
  <c r="AA33" i="5"/>
  <c r="H32" i="5"/>
  <c r="Y32" i="5"/>
  <c r="AA29" i="5"/>
  <c r="AA25" i="5"/>
  <c r="H36" i="5"/>
  <c r="X23" i="5"/>
  <c r="H23" i="5"/>
  <c r="X13" i="5"/>
  <c r="AB35" i="5"/>
  <c r="X28" i="5"/>
  <c r="AB25" i="5"/>
  <c r="AA30" i="5"/>
  <c r="Y30" i="5"/>
  <c r="X30" i="5"/>
  <c r="AA31" i="5"/>
  <c r="AA28" i="5"/>
  <c r="H27" i="5"/>
  <c r="I16" i="5"/>
  <c r="X22" i="5"/>
  <c r="X24" i="5"/>
  <c r="X18" i="5"/>
  <c r="H14" i="5"/>
  <c r="H34" i="5"/>
  <c r="AB19" i="5"/>
  <c r="AB26" i="5"/>
  <c r="X21" i="5"/>
  <c r="AA14" i="5"/>
  <c r="AA27" i="5"/>
  <c r="X17" i="5"/>
  <c r="X36" i="5"/>
  <c r="H20" i="5"/>
  <c r="X15" i="5"/>
  <c r="Y24" i="5"/>
  <c r="Y18" i="5"/>
  <c r="AB15" i="5"/>
  <c r="I26" i="5"/>
  <c r="H26" i="5"/>
  <c r="H15" i="5"/>
  <c r="AA13" i="5"/>
  <c r="H13" i="5"/>
  <c r="AA21" i="5"/>
  <c r="AA36" i="5"/>
  <c r="I36" i="5"/>
  <c r="H21" i="5"/>
  <c r="X19" i="5"/>
  <c r="S5" i="4"/>
  <c r="R7" i="4"/>
  <c r="R5" i="4"/>
  <c r="Q7" i="4"/>
  <c r="Q5" i="4"/>
  <c r="Q3" i="4"/>
  <c r="T6" i="4"/>
  <c r="T4" i="4"/>
  <c r="T3" i="4"/>
  <c r="S6" i="4"/>
  <c r="S4" i="4"/>
  <c r="S3" i="4"/>
  <c r="R6" i="4"/>
  <c r="R4" i="4"/>
  <c r="R3" i="4"/>
  <c r="Q6" i="4"/>
  <c r="Q4" i="4"/>
  <c r="T7" i="4"/>
  <c r="T5" i="4"/>
  <c r="S7" i="4"/>
  <c r="K9" i="4"/>
  <c r="K7" i="4"/>
  <c r="K5" i="4"/>
  <c r="J9" i="4"/>
  <c r="J7" i="4"/>
  <c r="J5" i="4"/>
  <c r="M4" i="4"/>
  <c r="M9" i="4"/>
  <c r="M7" i="4"/>
  <c r="M5" i="4"/>
  <c r="L9" i="4"/>
  <c r="L7" i="4"/>
  <c r="M6" i="4"/>
  <c r="M3" i="4"/>
  <c r="L8" i="4"/>
  <c r="L6" i="4"/>
  <c r="L4" i="4"/>
  <c r="L5" i="4"/>
  <c r="J3" i="4"/>
  <c r="M8" i="4"/>
  <c r="L3" i="4"/>
  <c r="K8" i="4"/>
  <c r="K6" i="4"/>
  <c r="K4" i="4"/>
  <c r="J8" i="4"/>
  <c r="J6" i="4"/>
  <c r="J4" i="4"/>
  <c r="G7" i="4"/>
  <c r="F4" i="4" s="1"/>
  <c r="AC23" i="5" l="1"/>
  <c r="AC15" i="5"/>
  <c r="AC21" i="5"/>
  <c r="AC29" i="5"/>
  <c r="AC34" i="5"/>
  <c r="AC19" i="5"/>
  <c r="AC14" i="5"/>
  <c r="AC18" i="5"/>
  <c r="AC17" i="5"/>
  <c r="AC13" i="5"/>
  <c r="AC25" i="5"/>
  <c r="AC24" i="5"/>
  <c r="AC27" i="5"/>
  <c r="AC28" i="5"/>
  <c r="AC22" i="5"/>
  <c r="AC20" i="5"/>
  <c r="AC33" i="5"/>
  <c r="AC32" i="5"/>
  <c r="AC26" i="5"/>
  <c r="AB30" i="5"/>
  <c r="AB33" i="5"/>
  <c r="AB13" i="5"/>
  <c r="AC35" i="5"/>
  <c r="AC16" i="5"/>
  <c r="AC31" i="5"/>
  <c r="AC36" i="5"/>
  <c r="AC30" i="5"/>
  <c r="AB32" i="5"/>
  <c r="AB22" i="5"/>
  <c r="J23" i="5"/>
  <c r="J15" i="5"/>
  <c r="J31" i="5"/>
  <c r="K11" i="5"/>
  <c r="J17" i="5"/>
  <c r="J35" i="5"/>
  <c r="J13" i="5"/>
  <c r="J19" i="5"/>
  <c r="J34" i="5"/>
  <c r="J21" i="5"/>
  <c r="J25" i="5"/>
  <c r="J18" i="5"/>
  <c r="J28" i="5"/>
  <c r="J29" i="5"/>
  <c r="J22" i="5"/>
  <c r="J16" i="5"/>
  <c r="J32" i="5"/>
  <c r="J30" i="5"/>
  <c r="I32" i="5"/>
  <c r="J20" i="5"/>
  <c r="J26" i="5"/>
  <c r="I34" i="5"/>
  <c r="J24" i="5"/>
  <c r="I30" i="5"/>
  <c r="I20" i="5"/>
  <c r="J33" i="5"/>
  <c r="AB23" i="5"/>
  <c r="AB18" i="5"/>
  <c r="AB21" i="5"/>
  <c r="I13" i="5"/>
  <c r="I23" i="5"/>
  <c r="AB29" i="5"/>
  <c r="AB14" i="5"/>
  <c r="AB17" i="5"/>
  <c r="I33" i="5"/>
  <c r="AB36" i="5"/>
  <c r="I29" i="5"/>
  <c r="I14" i="5"/>
  <c r="I27" i="5"/>
  <c r="AB16" i="5"/>
  <c r="AB31" i="5"/>
  <c r="F5" i="4"/>
  <c r="F3" i="4"/>
  <c r="F6" i="4"/>
  <c r="L11" i="5" l="1"/>
  <c r="K35" i="5"/>
  <c r="K29" i="5"/>
  <c r="K23" i="5"/>
  <c r="K17" i="5"/>
  <c r="K13" i="5"/>
  <c r="K28" i="5"/>
  <c r="K15" i="5"/>
  <c r="K21" i="5"/>
  <c r="K14" i="5"/>
  <c r="K25" i="5"/>
  <c r="K18" i="5"/>
  <c r="K24" i="5"/>
  <c r="K27" i="5"/>
  <c r="K33" i="5"/>
  <c r="K32" i="5"/>
  <c r="K20" i="5"/>
  <c r="K30" i="5"/>
  <c r="K22" i="5"/>
  <c r="K36" i="5"/>
  <c r="K16" i="5"/>
  <c r="J36" i="5"/>
  <c r="J14" i="5"/>
  <c r="J27" i="5"/>
  <c r="M11" i="5" l="1"/>
  <c r="L33" i="5"/>
  <c r="L35" i="5"/>
  <c r="L20" i="5"/>
  <c r="L34" i="5"/>
  <c r="L14" i="5"/>
  <c r="L29" i="5"/>
  <c r="L15" i="5"/>
  <c r="L23" i="5"/>
  <c r="L22" i="5"/>
  <c r="K34" i="5"/>
  <c r="K26" i="5"/>
  <c r="K19" i="5"/>
  <c r="K31" i="5"/>
  <c r="N11" i="5" l="1"/>
  <c r="M29" i="5"/>
  <c r="M21" i="5"/>
  <c r="M13" i="5"/>
  <c r="M24" i="5"/>
  <c r="M18" i="5"/>
  <c r="M19" i="5"/>
  <c r="M14" i="5"/>
  <c r="M34" i="5"/>
  <c r="M25" i="5"/>
  <c r="M26" i="5"/>
  <c r="M17" i="5"/>
  <c r="M27" i="5"/>
  <c r="M23" i="5"/>
  <c r="M15" i="5"/>
  <c r="M20" i="5"/>
  <c r="M22" i="5"/>
  <c r="M30" i="5"/>
  <c r="M33" i="5"/>
  <c r="M36" i="5"/>
  <c r="M35" i="5"/>
  <c r="M28" i="5"/>
  <c r="M31" i="5"/>
  <c r="M32" i="5"/>
  <c r="M16" i="5"/>
  <c r="L16" i="5"/>
  <c r="L31" i="5"/>
  <c r="L25" i="5"/>
  <c r="L27" i="5"/>
  <c r="L26" i="5"/>
  <c r="L17" i="5"/>
  <c r="L19" i="5"/>
  <c r="L18" i="5"/>
  <c r="L21" i="5"/>
  <c r="L32" i="5"/>
  <c r="L24" i="5"/>
  <c r="L30" i="5"/>
  <c r="L13" i="5"/>
  <c r="L36" i="5"/>
  <c r="L28" i="5"/>
  <c r="N21" i="5" l="1"/>
  <c r="N26" i="5"/>
  <c r="O11" i="5"/>
  <c r="N33" i="5"/>
  <c r="N30" i="5"/>
  <c r="N14" i="5"/>
  <c r="N32" i="5"/>
  <c r="N36" i="5"/>
  <c r="P11" i="5" l="1"/>
  <c r="N34" i="5"/>
  <c r="N24" i="5"/>
  <c r="N29" i="5"/>
  <c r="N15" i="5"/>
  <c r="N18" i="5"/>
  <c r="N31" i="5"/>
  <c r="N25" i="5"/>
  <c r="N28" i="5"/>
  <c r="N23" i="5"/>
  <c r="N19" i="5"/>
  <c r="N20" i="5"/>
  <c r="N27" i="5"/>
  <c r="N13" i="5"/>
  <c r="N22" i="5"/>
  <c r="N16" i="5"/>
  <c r="N17" i="5"/>
  <c r="N35" i="5"/>
  <c r="P31" i="5" l="1"/>
  <c r="P29" i="5"/>
  <c r="P21" i="5"/>
  <c r="P17" i="5"/>
  <c r="Q11" i="5"/>
  <c r="P20" i="5"/>
  <c r="P34" i="5"/>
  <c r="P14" i="5"/>
  <c r="P36" i="5"/>
  <c r="P30" i="5"/>
  <c r="P33" i="5"/>
  <c r="P16" i="5"/>
  <c r="P26" i="5"/>
  <c r="P28" i="5"/>
  <c r="O13" i="5"/>
  <c r="O23" i="5"/>
  <c r="O22" i="5"/>
  <c r="O25" i="5"/>
  <c r="O17" i="5"/>
  <c r="O35" i="5"/>
  <c r="O21" i="5"/>
  <c r="O18" i="5"/>
  <c r="O28" i="5"/>
  <c r="O16" i="5"/>
  <c r="O26" i="5"/>
  <c r="O19" i="5"/>
  <c r="O36" i="5"/>
  <c r="O31" i="5"/>
  <c r="O30" i="5"/>
  <c r="O34" i="5"/>
  <c r="O14" i="5"/>
  <c r="O15" i="5"/>
  <c r="O24" i="5"/>
  <c r="O20" i="5"/>
  <c r="O32" i="5"/>
  <c r="O33" i="5"/>
  <c r="O29" i="5"/>
  <c r="O27" i="5"/>
  <c r="Q29" i="5" l="1"/>
  <c r="Q21" i="5"/>
  <c r="Q23" i="5"/>
  <c r="Q14" i="5"/>
  <c r="Q13" i="5"/>
  <c r="R11" i="5"/>
  <c r="Q28" i="5"/>
  <c r="Q15" i="5"/>
  <c r="Q19" i="5"/>
  <c r="Q35" i="5"/>
  <c r="Q20" i="5"/>
  <c r="Q32" i="5"/>
  <c r="Q33" i="5"/>
  <c r="Q30" i="5"/>
  <c r="Q34" i="5"/>
  <c r="Q18" i="5"/>
  <c r="Q16" i="5"/>
  <c r="P15" i="5"/>
  <c r="P22" i="5"/>
  <c r="P27" i="5"/>
  <c r="P19" i="5"/>
  <c r="P24" i="5"/>
  <c r="P13" i="5"/>
  <c r="P25" i="5"/>
  <c r="P32" i="5"/>
  <c r="P18" i="5"/>
  <c r="P23" i="5"/>
  <c r="P35" i="5"/>
  <c r="S11" i="5" l="1"/>
  <c r="R25" i="5"/>
  <c r="R24" i="5"/>
  <c r="R30" i="5"/>
  <c r="R17" i="5"/>
  <c r="R19" i="5"/>
  <c r="R36" i="5"/>
  <c r="R16" i="5"/>
  <c r="R20" i="5"/>
  <c r="Q31" i="5"/>
  <c r="Q22" i="5"/>
  <c r="Q24" i="5"/>
  <c r="Q17" i="5"/>
  <c r="Q36" i="5"/>
  <c r="Q26" i="5"/>
  <c r="Q27" i="5"/>
  <c r="Q25" i="5"/>
  <c r="T11" i="5" l="1"/>
  <c r="S17" i="5"/>
  <c r="S28" i="5"/>
  <c r="S35" i="5"/>
  <c r="S25" i="5"/>
  <c r="S18" i="5"/>
  <c r="S14" i="5"/>
  <c r="S20" i="5"/>
  <c r="S33" i="5"/>
  <c r="S24" i="5"/>
  <c r="S34" i="5"/>
  <c r="S16" i="5"/>
  <c r="R22" i="5"/>
  <c r="R32" i="5"/>
  <c r="R23" i="5"/>
  <c r="R26" i="5"/>
  <c r="R15" i="5"/>
  <c r="R27" i="5"/>
  <c r="R33" i="5"/>
  <c r="R35" i="5"/>
  <c r="R21" i="5"/>
  <c r="R13" i="5"/>
  <c r="R28" i="5"/>
  <c r="R29" i="5"/>
  <c r="R34" i="5"/>
  <c r="R14" i="5"/>
  <c r="R18" i="5"/>
  <c r="R31" i="5"/>
  <c r="T31" i="5" l="1"/>
  <c r="T28" i="5"/>
  <c r="T14" i="5"/>
  <c r="T18" i="5"/>
  <c r="T24" i="5"/>
  <c r="T30" i="5"/>
  <c r="T33" i="5"/>
  <c r="T17" i="5"/>
  <c r="T25" i="5"/>
  <c r="T16" i="5"/>
  <c r="T34" i="5"/>
  <c r="T35" i="5"/>
  <c r="T19" i="5"/>
  <c r="T27" i="5"/>
  <c r="T20" i="5"/>
  <c r="T15" i="5"/>
  <c r="T26" i="5"/>
  <c r="T13" i="5"/>
  <c r="T21" i="5"/>
  <c r="T29" i="5"/>
  <c r="T23" i="5"/>
  <c r="T22" i="5"/>
  <c r="T32" i="5"/>
  <c r="T36" i="5"/>
  <c r="S32" i="5"/>
  <c r="S13" i="5"/>
  <c r="S27" i="5"/>
  <c r="S22" i="5"/>
  <c r="S21" i="5"/>
  <c r="S31" i="5"/>
  <c r="S36" i="5"/>
  <c r="S19" i="5"/>
  <c r="S15" i="5"/>
  <c r="S26" i="5"/>
  <c r="S30" i="5"/>
  <c r="S29" i="5"/>
  <c r="S23" i="5"/>
  <c r="F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<sst xmlns="http://schemas.openxmlformats.org/spreadsheetml/2006/main" count="242" uniqueCount="88">
  <si>
    <t>SEPTEMBRE</t>
  </si>
  <si>
    <t>OCTOBRE</t>
  </si>
  <si>
    <t>NOVEMBRE</t>
  </si>
  <si>
    <t>DECEMBRE</t>
  </si>
  <si>
    <t>Tâches</t>
  </si>
  <si>
    <t>S1</t>
  </si>
  <si>
    <t>S2</t>
  </si>
  <si>
    <t>S3</t>
  </si>
  <si>
    <t>S4</t>
  </si>
  <si>
    <t>Actions</t>
  </si>
  <si>
    <t>Acteurs</t>
  </si>
  <si>
    <t>Date debut</t>
  </si>
  <si>
    <t>Date fin</t>
  </si>
  <si>
    <t>Statut</t>
  </si>
  <si>
    <t>Observations</t>
  </si>
  <si>
    <t>MSHPCMU</t>
  </si>
  <si>
    <t>MEPS</t>
  </si>
  <si>
    <t>Partenaire technique</t>
  </si>
  <si>
    <t>Lister les hopitaux pour la phase pilote où les 2 systèmes (DPI et SIH) sont installés</t>
  </si>
  <si>
    <t>Developper et mettre à disposition les APIs selon le périmètre de chaque entité</t>
  </si>
  <si>
    <t>Elaborer un plan de tests (fonctionnalité, sécurité et intégration) des APIs</t>
  </si>
  <si>
    <t>Elaborer la documentation de chaque API</t>
  </si>
  <si>
    <t>Valider le standard et protocole d'échange de données : FHIR, REST API, JSON, SOAP</t>
  </si>
  <si>
    <t>Adapter le cadre de gouvernance aux directives nationales à travers la mise en place des politiques de gouvernance des données, du consentement des patients et de l'audit du système</t>
  </si>
  <si>
    <t>Mettre en place un environnement neutre de test commun</t>
  </si>
  <si>
    <t>DISD</t>
  </si>
  <si>
    <t>Dépendance</t>
  </si>
  <si>
    <t>SGCI / WinLogic /CNAM</t>
  </si>
  <si>
    <t>Tester les APIs selon les cas d'usage : du patient, du prestataire, de la couverture et des remboursement PBF et CMU</t>
  </si>
  <si>
    <t>SNDI</t>
  </si>
  <si>
    <t>Spécifications technique de l'environnement de test</t>
  </si>
  <si>
    <t>A fournir par les partenaires techniques</t>
  </si>
  <si>
    <t>MTND</t>
  </si>
  <si>
    <t>MSHPCMU / Partenaire technique</t>
  </si>
  <si>
    <t>DISD / SGCI / WinLogic /CNAM</t>
  </si>
  <si>
    <t>SNDI / GTT</t>
  </si>
  <si>
    <t>CNAM</t>
  </si>
  <si>
    <t>GTT</t>
  </si>
  <si>
    <t>GTT / DISD / Partenaire technique</t>
  </si>
  <si>
    <t>Finaliser l'inventaire des APIs pour le DPI, le SIH et la CICMU</t>
  </si>
  <si>
    <t>Partager les spécifications techniques pour l'environnement de test avec la SNDI</t>
  </si>
  <si>
    <t>Elaboration et validation des TDR</t>
  </si>
  <si>
    <t>Mettre à niveau les infrastructures dans les sites de la phase pilote</t>
  </si>
  <si>
    <t>Elaborer le TDR de la mission pour la mise à niveau les infrastructures dans les sites de la phase pilote</t>
  </si>
  <si>
    <t>Valider le TDR de la mission pour la mise à niveau des infrastructures dans les sites de la phase pilote</t>
  </si>
  <si>
    <t>Mettre à disposition le master patient file (CNAM) avec les autres systèmes</t>
  </si>
  <si>
    <t>Continue</t>
  </si>
  <si>
    <t>Mettre à disposition le référentiel des centres de santé actualisé</t>
  </si>
  <si>
    <t>Mettre à disposition le référentiel des professionnels de santé actualisé</t>
  </si>
  <si>
    <t>Mettre à disposition le référentiel des produits pharmaceutiques actualisé</t>
  </si>
  <si>
    <t>Discuter la formalisation du GTT à la prochaine réunion</t>
  </si>
  <si>
    <t>Réunion entre les partenaires techniques afin de déterminer les données à partager</t>
  </si>
  <si>
    <t>Rédiger un courrier pour informer les autorités sanitaires de leur participation à la phase pilote</t>
  </si>
  <si>
    <t>DGS / DISD</t>
  </si>
  <si>
    <t>S5</t>
  </si>
  <si>
    <t>En cours</t>
  </si>
  <si>
    <t>Légende</t>
  </si>
  <si>
    <t>N°</t>
  </si>
  <si>
    <t>Go live de la phase pilote</t>
  </si>
  <si>
    <t>Exécuter la phase pilote</t>
  </si>
  <si>
    <t>Restituer résultat de l'évaluation de la phase pilote</t>
  </si>
  <si>
    <t>Evaluer la phase pilote</t>
  </si>
  <si>
    <t>Prestataire externe</t>
  </si>
  <si>
    <t>MHSPCM / MEPS / Partenaire technique</t>
  </si>
  <si>
    <t>Le prestataire devra présenter les résultats au GTT</t>
  </si>
  <si>
    <t>FEVRIER 2026</t>
  </si>
  <si>
    <t>JANVIER 2026</t>
  </si>
  <si>
    <t>Non demarrée</t>
  </si>
  <si>
    <t>Réalisée</t>
  </si>
  <si>
    <t>Non réalisée</t>
  </si>
  <si>
    <t>DÉCEMBRE</t>
  </si>
  <si>
    <t>JANVIER</t>
  </si>
  <si>
    <t>FÉVRIER</t>
  </si>
  <si>
    <t>Mois</t>
  </si>
  <si>
    <t>MARS</t>
  </si>
  <si>
    <t>AVRIL</t>
  </si>
  <si>
    <t>MAI</t>
  </si>
  <si>
    <t>JUIN</t>
  </si>
  <si>
    <t>JUILLET</t>
  </si>
  <si>
    <t>AOÛT</t>
  </si>
  <si>
    <t>Entites</t>
  </si>
  <si>
    <t>Taches</t>
  </si>
  <si>
    <t>Date_debut</t>
  </si>
  <si>
    <t>Date_fin</t>
  </si>
  <si>
    <t>N</t>
  </si>
  <si>
    <t>Partenaires techniques</t>
  </si>
  <si>
    <t>MSHPCMU / Partenaires techniques</t>
  </si>
  <si>
    <t>MHSPCM / MEPS / Partenaires techniques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</si>
</sst>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%"/>
  </numFmts>
  <fonts count="1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6"/>
      <color theme="1" tint="0.14999847407452621"/>
      <name val="Aptos Narrow"/>
      <family val="2"/>
      <scheme val="minor"/>
    </font>
    <font>
      <sz val="10"/>
      <color theme="1" tint="0.14999847407452621"/>
      <name val="Aptos Narrow"/>
      <family val="2"/>
      <scheme val="minor"/>
    </font>
    <font>
      <b/>
      <sz val="10"/>
      <color theme="1" tint="0.14999847407452621"/>
      <name val="Aptos Narrow"/>
      <family val="2"/>
      <scheme val="minor"/>
    </font>
    <font>
      <b/>
      <sz val="14"/>
      <color theme="0"/>
      <name val="Aptos Display"/>
      <family val="2"/>
      <scheme val="major"/>
    </font>
    <font>
      <sz val="12"/>
      <color theme="1" tint="0.14999847407452621"/>
      <name val="Aptos Narrow"/>
      <family val="2"/>
      <scheme val="minor"/>
    </font>
    <font>
      <b/>
      <sz val="12"/>
      <color theme="1" tint="0.1499984740745262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 tint="0.14999847407452621"/>
      <name val="Arial Black"/>
      <family val="2"/>
    </font>
    <font>
      <sz val="12"/>
      <color theme="1" tint="0.14999847407452621"/>
      <name val="Arial Narrow"/>
      <family val="2"/>
    </font>
    <font>
      <sz val="12"/>
      <color theme="1"/>
      <name val="Aptos Narrow"/>
      <family val="2"/>
      <scheme val="minor"/>
    </font>
    <font>
      <b/>
      <sz val="11"/>
      <color theme="1" tint="0.1499984740745262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color theme="1" tint="0.14999847407452621"/>
      <name val="Arial Narrow"/>
      <family val="2"/>
    </font>
    <font>
      <sz val="8"/>
      <name val="Aptos Narrow"/>
      <family val="2"/>
      <scheme val="minor"/>
    </font>
    <font>
      <b/>
      <sz val="9"/>
      <color theme="1" tint="0.1499984740745262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/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ashed">
        <color indexed="64"/>
      </bottom>
      <diagonal/>
    </border>
    <border>
      <left style="thin">
        <color auto="1"/>
      </left>
      <right/>
      <top style="thick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auto="1"/>
      </left>
      <right/>
      <top style="dashed">
        <color indexed="64"/>
      </top>
      <bottom style="dashed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ashed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dashed">
        <color indexed="64"/>
      </right>
      <top/>
      <bottom/>
      <diagonal/>
    </border>
    <border>
      <left style="dashed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dashed">
        <color indexed="64"/>
      </right>
      <top/>
      <bottom style="medium">
        <color indexed="64"/>
      </bottom>
      <diagonal/>
    </border>
    <border>
      <left style="dashed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dashed">
        <color indexed="64"/>
      </top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/>
      <diagonal/>
    </border>
    <border>
      <left style="thin">
        <color auto="1"/>
      </left>
      <right/>
      <top style="dashed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1"/>
      </left>
      <right style="thin">
        <color indexed="64"/>
      </right>
      <top style="thin">
        <color theme="1"/>
      </top>
      <bottom style="thick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127">
    <xf numFmtId="0" fontId="0" fillId="0" borderId="0" xfId="0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 indent="1"/>
    </xf>
    <xf numFmtId="0" fontId="3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left" vertical="center" wrapText="1" indent="1"/>
    </xf>
    <xf numFmtId="0" fontId="7" fillId="3" borderId="10" xfId="0" applyFont="1" applyFill="1" applyBorder="1" applyAlignment="1">
      <alignment horizontal="left" vertical="center" wrapText="1" indent="1"/>
    </xf>
    <xf numFmtId="0" fontId="7" fillId="4" borderId="13" xfId="0" applyFont="1" applyFill="1" applyBorder="1" applyAlignment="1">
      <alignment horizontal="left" vertical="center" wrapText="1" indent="1"/>
    </xf>
    <xf numFmtId="0" fontId="7" fillId="4" borderId="16" xfId="0" applyFont="1" applyFill="1" applyBorder="1" applyAlignment="1">
      <alignment horizontal="left" vertical="center" wrapText="1" indent="1"/>
    </xf>
    <xf numFmtId="0" fontId="7" fillId="3" borderId="1" xfId="0" applyFont="1" applyFill="1" applyBorder="1" applyAlignment="1">
      <alignment horizontal="left" vertical="center" wrapText="1" indent="1"/>
    </xf>
    <xf numFmtId="0" fontId="1" fillId="6" borderId="20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/>
    </xf>
    <xf numFmtId="0" fontId="1" fillId="6" borderId="21" xfId="0" applyFont="1" applyFill="1" applyBorder="1" applyAlignment="1">
      <alignment horizontal="center" vertical="center" wrapText="1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 wrapText="1"/>
    </xf>
    <xf numFmtId="0" fontId="0" fillId="0" borderId="15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4" xfId="0" applyBorder="1" applyAlignment="1">
      <alignment vertical="center" wrapText="1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 wrapText="1"/>
    </xf>
    <xf numFmtId="0" fontId="0" fillId="0" borderId="27" xfId="0" applyBorder="1" applyAlignment="1">
      <alignment vertical="center"/>
    </xf>
    <xf numFmtId="0" fontId="1" fillId="6" borderId="22" xfId="0" applyFont="1" applyFill="1" applyBorder="1" applyAlignment="1">
      <alignment horizontal="center" vertical="center" wrapText="1"/>
    </xf>
    <xf numFmtId="0" fontId="0" fillId="0" borderId="25" xfId="0" applyBorder="1" applyAlignment="1">
      <alignment vertical="center" wrapText="1"/>
    </xf>
    <xf numFmtId="0" fontId="0" fillId="0" borderId="28" xfId="0" applyBorder="1" applyAlignment="1">
      <alignment vertical="center" wrapText="1"/>
    </xf>
    <xf numFmtId="0" fontId="0" fillId="0" borderId="19" xfId="0" applyBorder="1" applyAlignment="1">
      <alignment vertical="center" wrapText="1"/>
    </xf>
    <xf numFmtId="14" fontId="0" fillId="0" borderId="24" xfId="0" applyNumberFormat="1" applyBorder="1" applyAlignment="1">
      <alignment horizontal="center" vertical="center"/>
    </xf>
    <xf numFmtId="14" fontId="0" fillId="0" borderId="27" xfId="0" applyNumberForma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26" xfId="0" applyBorder="1" applyAlignment="1">
      <alignment vertical="center" wrapText="1"/>
    </xf>
    <xf numFmtId="0" fontId="8" fillId="5" borderId="32" xfId="0" applyFont="1" applyFill="1" applyBorder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4" borderId="13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7" fillId="4" borderId="16" xfId="0" applyFont="1" applyFill="1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6" fillId="9" borderId="4" xfId="0" applyFont="1" applyFill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8" borderId="37" xfId="0" applyFont="1" applyFill="1" applyBorder="1" applyAlignment="1">
      <alignment horizontal="center" vertical="center"/>
    </xf>
    <xf numFmtId="0" fontId="1" fillId="0" borderId="0" xfId="0" applyFont="1"/>
    <xf numFmtId="0" fontId="7" fillId="4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left" vertical="center" wrapText="1" indent="1"/>
    </xf>
    <xf numFmtId="0" fontId="14" fillId="0" borderId="35" xfId="0" applyFont="1" applyBorder="1" applyAlignment="1">
      <alignment horizontal="right" vertical="center"/>
    </xf>
    <xf numFmtId="0" fontId="14" fillId="0" borderId="36" xfId="0" applyFont="1" applyBorder="1" applyAlignment="1">
      <alignment horizontal="right" vertical="center"/>
    </xf>
    <xf numFmtId="164" fontId="0" fillId="0" borderId="0" xfId="1" applyNumberFormat="1" applyFont="1" applyAlignment="1">
      <alignment horizontal="center" vertical="center"/>
    </xf>
    <xf numFmtId="1" fontId="0" fillId="0" borderId="24" xfId="0" applyNumberFormat="1" applyBorder="1" applyAlignment="1">
      <alignment horizontal="center" vertical="center"/>
    </xf>
    <xf numFmtId="1" fontId="0" fillId="0" borderId="27" xfId="0" applyNumberFormat="1" applyBorder="1" applyAlignment="1">
      <alignment horizontal="center" vertical="center"/>
    </xf>
    <xf numFmtId="14" fontId="0" fillId="11" borderId="27" xfId="0" applyNumberFormat="1" applyFill="1" applyBorder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14" fontId="7" fillId="3" borderId="40" xfId="0" applyNumberFormat="1" applyFont="1" applyFill="1" applyBorder="1" applyAlignment="1">
      <alignment horizontal="center" vertical="center" wrapText="1"/>
    </xf>
    <xf numFmtId="14" fontId="7" fillId="3" borderId="41" xfId="0" applyNumberFormat="1" applyFont="1" applyFill="1" applyBorder="1" applyAlignment="1">
      <alignment horizontal="center" vertical="center" wrapText="1"/>
    </xf>
    <xf numFmtId="14" fontId="7" fillId="4" borderId="38" xfId="0" applyNumberFormat="1" applyFont="1" applyFill="1" applyBorder="1" applyAlignment="1">
      <alignment horizontal="center" vertical="center" wrapText="1"/>
    </xf>
    <xf numFmtId="14" fontId="7" fillId="4" borderId="39" xfId="0" applyNumberFormat="1" applyFont="1" applyFill="1" applyBorder="1" applyAlignment="1">
      <alignment horizontal="center" vertical="center" wrapText="1"/>
    </xf>
    <xf numFmtId="14" fontId="7" fillId="3" borderId="38" xfId="0" applyNumberFormat="1" applyFont="1" applyFill="1" applyBorder="1" applyAlignment="1">
      <alignment horizontal="center" vertical="center" wrapText="1"/>
    </xf>
    <xf numFmtId="14" fontId="7" fillId="3" borderId="39" xfId="0" applyNumberFormat="1" applyFont="1" applyFill="1" applyBorder="1" applyAlignment="1">
      <alignment horizontal="center" vertical="center" wrapText="1"/>
    </xf>
    <xf numFmtId="14" fontId="7" fillId="4" borderId="40" xfId="0" applyNumberFormat="1" applyFont="1" applyFill="1" applyBorder="1" applyAlignment="1">
      <alignment horizontal="center" vertical="center" wrapText="1"/>
    </xf>
    <xf numFmtId="14" fontId="7" fillId="4" borderId="41" xfId="0" applyNumberFormat="1" applyFont="1" applyFill="1" applyBorder="1" applyAlignment="1">
      <alignment horizontal="center" vertical="center" wrapText="1"/>
    </xf>
    <xf numFmtId="14" fontId="7" fillId="4" borderId="42" xfId="0" applyNumberFormat="1" applyFont="1" applyFill="1" applyBorder="1" applyAlignment="1">
      <alignment horizontal="center" vertical="center" wrapText="1"/>
    </xf>
    <xf numFmtId="14" fontId="7" fillId="4" borderId="43" xfId="0" applyNumberFormat="1" applyFont="1" applyFill="1" applyBorder="1" applyAlignment="1">
      <alignment horizontal="center" vertical="center" wrapText="1"/>
    </xf>
    <xf numFmtId="14" fontId="12" fillId="4" borderId="42" xfId="0" applyNumberFormat="1" applyFont="1" applyFill="1" applyBorder="1" applyAlignment="1">
      <alignment horizontal="center" vertical="center" wrapText="1"/>
    </xf>
    <xf numFmtId="14" fontId="12" fillId="4" borderId="43" xfId="0" applyNumberFormat="1" applyFont="1" applyFill="1" applyBorder="1" applyAlignment="1">
      <alignment horizontal="center" vertical="center" wrapText="1"/>
    </xf>
    <xf numFmtId="14" fontId="12" fillId="3" borderId="38" xfId="0" applyNumberFormat="1" applyFont="1" applyFill="1" applyBorder="1" applyAlignment="1">
      <alignment horizontal="center" vertical="center" wrapText="1"/>
    </xf>
    <xf numFmtId="14" fontId="12" fillId="3" borderId="39" xfId="0" applyNumberFormat="1" applyFont="1" applyFill="1" applyBorder="1" applyAlignment="1">
      <alignment horizontal="center" vertical="center" wrapText="1"/>
    </xf>
    <xf numFmtId="0" fontId="8" fillId="5" borderId="38" xfId="0" applyFont="1" applyFill="1" applyBorder="1" applyAlignment="1">
      <alignment horizontal="center" vertical="center"/>
    </xf>
    <xf numFmtId="0" fontId="8" fillId="5" borderId="39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/>
    </xf>
    <xf numFmtId="0" fontId="1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8" fillId="5" borderId="29" xfId="0" applyFont="1" applyFill="1" applyBorder="1" applyAlignment="1">
      <alignment horizontal="center" vertical="center"/>
    </xf>
    <xf numFmtId="14" fontId="7" fillId="3" borderId="0" xfId="0" applyNumberFormat="1" applyFont="1" applyFill="1" applyAlignment="1">
      <alignment horizontal="center" vertical="center" wrapText="1"/>
    </xf>
    <xf numFmtId="14" fontId="7" fillId="4" borderId="29" xfId="0" applyNumberFormat="1" applyFont="1" applyFill="1" applyBorder="1" applyAlignment="1">
      <alignment horizontal="center" vertical="center" wrapText="1"/>
    </xf>
    <xf numFmtId="14" fontId="7" fillId="3" borderId="29" xfId="0" applyNumberFormat="1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30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4" xfId="0" applyBorder="1" applyAlignment="1">
      <alignment vertical="center"/>
    </xf>
    <xf numFmtId="0" fontId="0" fillId="0" borderId="45" xfId="0" applyBorder="1" applyAlignment="1">
      <alignment vertical="center" wrapText="1"/>
    </xf>
    <xf numFmtId="14" fontId="0" fillId="0" borderId="45" xfId="0" applyNumberFormat="1" applyBorder="1" applyAlignment="1">
      <alignment horizontal="center" vertical="center"/>
    </xf>
    <xf numFmtId="1" fontId="0" fillId="0" borderId="45" xfId="0" applyNumberFormat="1" applyBorder="1" applyAlignment="1">
      <alignment horizontal="center" vertical="center"/>
    </xf>
    <xf numFmtId="0" fontId="0" fillId="0" borderId="45" xfId="0" applyBorder="1" applyAlignment="1">
      <alignment vertical="center"/>
    </xf>
    <xf numFmtId="0" fontId="0" fillId="0" borderId="46" xfId="0" applyBorder="1" applyAlignment="1">
      <alignment vertical="center" wrapText="1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" fillId="0" borderId="31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0" borderId="47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49" xfId="0" applyFont="1" applyBorder="1" applyAlignment="1">
      <alignment horizontal="center" vertical="center"/>
    </xf>
    <xf numFmtId="0" fontId="1" fillId="0" borderId="50" xfId="0" applyFont="1" applyBorder="1" applyAlignment="1">
      <alignment horizontal="center" vertical="center"/>
    </xf>
    <xf numFmtId="0" fontId="1" fillId="0" borderId="51" xfId="0" applyFont="1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52" xfId="0" applyFont="1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11" borderId="4" xfId="0" applyFont="1" applyFill="1" applyBorder="1" applyAlignment="1">
      <alignment horizontal="center" vertical="center"/>
    </xf>
    <xf numFmtId="0" fontId="1" fillId="11" borderId="20" xfId="0" applyFont="1" applyFill="1" applyBorder="1" applyAlignment="1">
      <alignment horizontal="center" vertical="center"/>
    </xf>
    <xf numFmtId="0" fontId="1" fillId="11" borderId="54" xfId="0" applyFont="1" applyFill="1" applyBorder="1" applyAlignment="1">
      <alignment horizontal="center" vertical="center"/>
    </xf>
    <xf numFmtId="0" fontId="8" fillId="11" borderId="32" xfId="0" applyFont="1" applyFill="1" applyBorder="1" applyAlignment="1">
      <alignment horizontal="center"/>
    </xf>
    <xf numFmtId="0" fontId="9" fillId="10" borderId="33" xfId="0" applyFont="1" applyFill="1" applyBorder="1" applyAlignment="1">
      <alignment horizontal="center" vertical="center"/>
    </xf>
    <xf numFmtId="0" fontId="9" fillId="10" borderId="34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5" fillId="2" borderId="5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17" fontId="5" fillId="2" borderId="7" xfId="0" quotePrefix="1" applyNumberFormat="1" applyFont="1" applyFill="1" applyBorder="1" applyAlignment="1">
      <alignment horizontal="center" vertical="center"/>
    </xf>
  </cellXfs>
  <cellStyles count="2">
    <cellStyle name="Normal" xfId="0" builtinId="0"/>
    <cellStyle name="Pourcentage" xfId="1" builtinId="5"/>
  </cellStyles>
  <dxfs count="19">
    <dxf>
      <fill>
        <patternFill>
          <bgColor rgb="FF0070C0"/>
        </patternFill>
      </fill>
    </dxf>
    <dxf>
      <fill>
        <patternFill>
          <bgColor rgb="FFFFC0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auto="1"/>
        </left>
        <right/>
        <top style="dashed">
          <color indexed="64"/>
        </top>
        <bottom style="dashed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1" formatCode="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alignment horizontal="general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alignment horizontal="general" vertical="center" textRotation="0" wrapText="0" indent="0" justifyLastLine="0" shrinkToFit="0" readingOrder="0"/>
      <border diagonalUp="0" diagonalDown="0">
        <left/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dashed">
          <color indexed="64"/>
        </top>
        <bottom style="dashed">
          <color indexed="64"/>
        </bottom>
        <vertical/>
        <horizontal/>
      </border>
    </dxf>
    <dxf>
      <border outline="0">
        <bottom style="dashed">
          <color indexed="64"/>
        </bottom>
      </border>
    </dxf>
    <dxf>
      <border outline="0">
        <bottom style="thick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theme="9" tint="0.59999389629810485"/>
          <bgColor theme="9" tint="0.59999389629810485"/>
        </patternFill>
      </fill>
    </dxf>
    <dxf>
      <font>
        <color theme="1"/>
      </font>
      <fill>
        <patternFill patternType="solid">
          <fgColor theme="9" tint="0.79998168889431442"/>
          <bgColor theme="9" tint="0.79998168889431442"/>
        </patternFill>
      </fill>
      <border>
        <vertical style="thin">
          <color theme="0"/>
        </vertical>
        <horizontal style="thin">
          <color theme="0"/>
        </horizontal>
      </border>
    </dxf>
  </dxfs>
  <tableStyles count="1" defaultTableStyle="TableStyleMedium2" defaultPivotStyle="PivotStyleLight16">
    <tableStyle name="WeeklyChore" pivot="0" count="2" xr9:uid="{BA088499-1FCD-4E0C-90DB-0F4F919C2707}">
      <tableStyleElement type="wholeTable" dxfId="18"/>
      <tableStyleElement type="firstRowStripe" dxfId="1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142B-420E-8260-0CC991887AB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42B-420E-8260-0CC991887AB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142B-420E-8260-0CC991887AB8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42B-420E-8260-0CC991887AB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Feuil1!$Q$3:$T$3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2B-420E-8260-0CC991887AB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CA2-4723-A761-010B41C25F7B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1CA2-4723-A761-010B41C25F7B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CA2-4723-A761-010B41C25F7B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Feuil1!$Q$4:$T$4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CA2-4723-A761-010B41C25F7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Feuil1!$Q$5:$T$5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61C-4553-8E87-D1017AA27D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BC0-4FD7-81EE-569027DA65F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Feuil1!$Q$6:$T$6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7BC0-4FD7-81EE-569027DA65F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EA0F-4FD5-9677-EF2904551259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A0F-4FD5-9677-EF2904551259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Feuil1!$Q$7:$T$7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F-4FD5-9677-EF290455125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0324253133589788"/>
          <c:y val="9.4097507749716827E-2"/>
          <c:w val="0.50072904636863935"/>
          <c:h val="0.93148236168114784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5E9-492E-9158-3DE1DE986CBB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5E9-492E-9158-3DE1DE986CB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C5E9-492E-9158-3DE1DE986CBB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C5E9-492E-9158-3DE1DE986CB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baseline="0">
                    <a:solidFill>
                      <a:schemeClr val="lt1"/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Feuil1!$E$3:$E$6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Feuil1!$F$3:$F$6</c:f>
              <c:numCache>
                <c:formatCode>0.0%</c:formatCode>
                <c:ptCount val="4"/>
                <c:pt idx="0">
                  <c:v>0.33333333333333331</c:v>
                </c:pt>
                <c:pt idx="1">
                  <c:v>0.25</c:v>
                </c:pt>
                <c:pt idx="2">
                  <c:v>0.25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C5E9-492E-9158-3DE1DE986CBB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latin typeface="Bahnschrift" panose="020B0502040204020203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8E-4770-8A0D-87111ED6978D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8E-4770-8A0D-87111ED6978D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E8E-4770-8A0D-87111ED6978D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E8E-4770-8A0D-87111ED6978D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6576" tIns="18288" rIns="36576" bIns="18288" anchor="ctr" anchorCtr="1">
                <a:spAutoFit/>
              </a:bodyPr>
              <a:lstStyle/>
              <a:p>
                <a:pPr>
                  <a:defRPr sz="900" b="0" i="0" u="none" strike="noStrike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Feuil1!$E$3:$E$6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Feuil1!$F$3:$F$6</c:f>
              <c:numCache>
                <c:formatCode>0.0%</c:formatCode>
                <c:ptCount val="4"/>
                <c:pt idx="0">
                  <c:v>0.33333333333333331</c:v>
                </c:pt>
                <c:pt idx="1">
                  <c:v>0.25</c:v>
                </c:pt>
                <c:pt idx="2">
                  <c:v>0.25</c:v>
                </c:pt>
                <c:pt idx="3">
                  <c:v>0.16666666666666666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E8E-4770-8A0D-87111ED697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427522095"/>
        <c:axId val="1427521615"/>
      </c:barChart>
      <c:valAx>
        <c:axId val="1427521615"/>
        <c:scaling>
          <c:orientation val="minMax"/>
        </c:scaling>
        <c:delete val="1"/>
        <c:axPos val="b"/>
        <c:numFmt formatCode="0.0%" sourceLinked="1"/>
        <c:majorTickMark val="out"/>
        <c:minorTickMark val="none"/>
        <c:tickLblPos val="nextTo"/>
        <c:crossAx val="1427522095"/>
        <c:crosses val="autoZero"/>
        <c:crossBetween val="between"/>
      </c:valAx>
      <c:catAx>
        <c:axId val="1427522095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1615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5875" cap="flat" cmpd="sng" algn="ctr">
      <a:solidFill>
        <a:schemeClr val="tx2"/>
      </a:solidFill>
      <a:round/>
    </a:ln>
    <a:effectLst/>
  </c:spPr>
  <c:txPr>
    <a:bodyPr/>
    <a:lstStyle/>
    <a:p>
      <a:pPr>
        <a:defRPr>
          <a:latin typeface="Bahnschrift" panose="020B0502040204020203" pitchFamily="34" charset="0"/>
        </a:defRPr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1587901701323253E-2"/>
          <c:y val="8.0514839491217429E-3"/>
          <c:w val="0.93921081225905367"/>
          <c:h val="0.686256208358570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Feuil1!$J$2</c:f>
              <c:strCache>
                <c:ptCount val="1"/>
                <c:pt idx="0">
                  <c:v>Non demarrée</c:v>
                </c:pt>
              </c:strCache>
            </c:strRef>
          </c:tx>
          <c:spPr>
            <a:solidFill>
              <a:srgbClr val="0070C0"/>
            </a:solidFill>
            <a:ln>
              <a:noFill/>
            </a:ln>
            <a:effectLst/>
          </c:spPr>
          <c:invertIfNegative val="0"/>
          <c:cat>
            <c:strRef>
              <c:f>Feuil1!$I$3:$I$9</c:f>
              <c:strCache>
                <c:ptCount val="7"/>
                <c:pt idx="0">
                  <c:v>MSHPCMU</c:v>
                </c:pt>
                <c:pt idx="1">
                  <c:v>Partenaires techniques</c:v>
                </c:pt>
                <c:pt idx="2">
                  <c:v>MTND</c:v>
                </c:pt>
                <c:pt idx="3">
                  <c:v>GTT</c:v>
                </c:pt>
                <c:pt idx="4">
                  <c:v>MEPS</c:v>
                </c:pt>
                <c:pt idx="5">
                  <c:v>MSHPCMU / Partenaires techniques</c:v>
                </c:pt>
                <c:pt idx="6">
                  <c:v>MHSPCM / MEPS / Partenaires techniques</c:v>
                </c:pt>
              </c:strCache>
            </c:strRef>
          </c:cat>
          <c:val>
            <c:numRef>
              <c:f>Feuil1!$J$3:$J$9</c:f>
              <c:numCache>
                <c:formatCode>General</c:formatCode>
                <c:ptCount val="7"/>
                <c:pt idx="0">
                  <c:v>0</c:v>
                </c:pt>
                <c:pt idx="1">
                  <c:v>4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A4-4592-AF5D-939F2EE8736F}"/>
            </c:ext>
          </c:extLst>
        </c:ser>
        <c:ser>
          <c:idx val="1"/>
          <c:order val="1"/>
          <c:tx>
            <c:strRef>
              <c:f>Feuil1!$K$2</c:f>
              <c:strCache>
                <c:ptCount val="1"/>
                <c:pt idx="0">
                  <c:v>En cours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cat>
            <c:strRef>
              <c:f>Feuil1!$I$3:$I$9</c:f>
              <c:strCache>
                <c:ptCount val="7"/>
                <c:pt idx="0">
                  <c:v>MSHPCMU</c:v>
                </c:pt>
                <c:pt idx="1">
                  <c:v>Partenaires techniques</c:v>
                </c:pt>
                <c:pt idx="2">
                  <c:v>MTND</c:v>
                </c:pt>
                <c:pt idx="3">
                  <c:v>GTT</c:v>
                </c:pt>
                <c:pt idx="4">
                  <c:v>MEPS</c:v>
                </c:pt>
                <c:pt idx="5">
                  <c:v>MSHPCMU / Partenaires techniques</c:v>
                </c:pt>
                <c:pt idx="6">
                  <c:v>MHSPCM / MEPS / Partenaires techniques</c:v>
                </c:pt>
              </c:strCache>
            </c:strRef>
          </c:cat>
          <c:val>
            <c:numRef>
              <c:f>Feuil1!$K$3:$K$9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A4-4592-AF5D-939F2EE8736F}"/>
            </c:ext>
          </c:extLst>
        </c:ser>
        <c:ser>
          <c:idx val="2"/>
          <c:order val="2"/>
          <c:tx>
            <c:strRef>
              <c:f>Feuil1!$L$2</c:f>
              <c:strCache>
                <c:ptCount val="1"/>
                <c:pt idx="0">
                  <c:v>Réalisée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Feuil1!$I$3:$I$9</c:f>
              <c:strCache>
                <c:ptCount val="7"/>
                <c:pt idx="0">
                  <c:v>MSHPCMU</c:v>
                </c:pt>
                <c:pt idx="1">
                  <c:v>Partenaires techniques</c:v>
                </c:pt>
                <c:pt idx="2">
                  <c:v>MTND</c:v>
                </c:pt>
                <c:pt idx="3">
                  <c:v>GTT</c:v>
                </c:pt>
                <c:pt idx="4">
                  <c:v>MEPS</c:v>
                </c:pt>
                <c:pt idx="5">
                  <c:v>MSHPCMU / Partenaires techniques</c:v>
                </c:pt>
                <c:pt idx="6">
                  <c:v>MHSPCM / MEPS / Partenaires techniques</c:v>
                </c:pt>
              </c:strCache>
            </c:strRef>
          </c:cat>
          <c:val>
            <c:numRef>
              <c:f>Feuil1!$L$3:$L$9</c:f>
              <c:numCache>
                <c:formatCode>General</c:formatCode>
                <c:ptCount val="7"/>
                <c:pt idx="0">
                  <c:v>2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CA4-4592-AF5D-939F2EE8736F}"/>
            </c:ext>
          </c:extLst>
        </c:ser>
        <c:ser>
          <c:idx val="3"/>
          <c:order val="3"/>
          <c:tx>
            <c:strRef>
              <c:f>Feuil1!$M$2</c:f>
              <c:strCache>
                <c:ptCount val="1"/>
                <c:pt idx="0">
                  <c:v>Non réalisée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cat>
            <c:strRef>
              <c:f>Feuil1!$I$3:$I$9</c:f>
              <c:strCache>
                <c:ptCount val="7"/>
                <c:pt idx="0">
                  <c:v>MSHPCMU</c:v>
                </c:pt>
                <c:pt idx="1">
                  <c:v>Partenaires techniques</c:v>
                </c:pt>
                <c:pt idx="2">
                  <c:v>MTND</c:v>
                </c:pt>
                <c:pt idx="3">
                  <c:v>GTT</c:v>
                </c:pt>
                <c:pt idx="4">
                  <c:v>MEPS</c:v>
                </c:pt>
                <c:pt idx="5">
                  <c:v>MSHPCMU / Partenaires techniques</c:v>
                </c:pt>
                <c:pt idx="6">
                  <c:v>MHSPCM / MEPS / Partenaires techniques</c:v>
                </c:pt>
              </c:strCache>
            </c:strRef>
          </c:cat>
          <c:val>
            <c:numRef>
              <c:f>Feuil1!$M$3:$M$9</c:f>
              <c:numCache>
                <c:formatCode>General</c:formatCode>
                <c:ptCount val="7"/>
                <c:pt idx="0">
                  <c:v>0</c:v>
                </c:pt>
                <c:pt idx="1">
                  <c:v>2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CA4-4592-AF5D-939F2EE873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427480815"/>
        <c:axId val="1427479375"/>
      </c:barChart>
      <c:catAx>
        <c:axId val="14274808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479375"/>
        <c:crosses val="autoZero"/>
        <c:auto val="1"/>
        <c:lblAlgn val="ctr"/>
        <c:lblOffset val="100"/>
        <c:noMultiLvlLbl val="0"/>
      </c:catAx>
      <c:valAx>
        <c:axId val="1427479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4274808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6B92-4EB0-824D-204308931ED2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6B92-4EB0-824D-204308931ED2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6B92-4EB0-824D-204308931ED2}"/>
              </c:ext>
            </c:extLst>
          </c:dPt>
          <c:dPt>
            <c:idx val="3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6B92-4EB0-824D-204308931ED2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Feuil1!$Q$3:$T$3</c:f>
              <c:numCache>
                <c:formatCode>General</c:formatCode>
                <c:ptCount val="4"/>
                <c:pt idx="0">
                  <c:v>5</c:v>
                </c:pt>
                <c:pt idx="1">
                  <c:v>2</c:v>
                </c:pt>
                <c:pt idx="2">
                  <c:v>5</c:v>
                </c:pt>
                <c:pt idx="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B92-4EB0-824D-204308931ED2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FC46-4534-8BBC-32A73C2863C8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FC46-4534-8BBC-32A73C2863C8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FC46-4534-8BBC-32A73C2863C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Feuil1!$Q$4:$T$4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FC46-4534-8BBC-32A73C2863C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Feuil1!$Q$5:$T$5</c:f>
              <c:numCache>
                <c:formatCode>General</c:formatCode>
                <c:ptCount val="4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17-491A-BCE1-A1D4B36C866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723-43B3-887B-0A10A4C055D8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Feuil1!$Q$6:$T$6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723-43B3-887B-0A10A4C055D8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bar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070C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C90-43F3-B674-E037D934DA77}"/>
              </c:ext>
            </c:extLst>
          </c:dPt>
          <c:dPt>
            <c:idx val="1"/>
            <c:invertIfNegative val="0"/>
            <c:bubble3D val="0"/>
            <c:spPr>
              <a:solidFill>
                <a:srgbClr val="FFC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C90-43F3-B674-E037D934DA77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showLeaderLines val="0"/>
              </c:ext>
            </c:extLst>
          </c:dLbls>
          <c:cat>
            <c:strRef>
              <c:f>Feuil1!$Q$2:$T$2</c:f>
              <c:strCache>
                <c:ptCount val="4"/>
                <c:pt idx="0">
                  <c:v>Non demarrée</c:v>
                </c:pt>
                <c:pt idx="1">
                  <c:v>En cours</c:v>
                </c:pt>
                <c:pt idx="2">
                  <c:v>Réalisée</c:v>
                </c:pt>
                <c:pt idx="3">
                  <c:v>Non réalisée</c:v>
                </c:pt>
              </c:strCache>
            </c:strRef>
          </c:cat>
          <c:val>
            <c:numRef>
              <c:f>Feuil1!$Q$7:$T$7</c:f>
              <c:numCache>
                <c:formatCode>General</c:formatCode>
                <c:ptCount val="4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C90-43F3-B674-E037D934DA77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"/>
        <c:overlap val="-25"/>
        <c:axId val="1427524495"/>
        <c:axId val="1427529295"/>
      </c:barChart>
      <c:catAx>
        <c:axId val="142752449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fr-FR"/>
          </a:p>
        </c:txPr>
        <c:crossAx val="1427529295"/>
        <c:crosses val="autoZero"/>
        <c:auto val="1"/>
        <c:lblAlgn val="ctr"/>
        <c:lblOffset val="100"/>
        <c:noMultiLvlLbl val="0"/>
      </c:catAx>
      <c:valAx>
        <c:axId val="142752929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4275244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12700" cap="flat" cmpd="sng" algn="ctr">
      <a:solidFill>
        <a:schemeClr val="tx2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.xml"/><Relationship Id="rId2" Type="http://schemas.openxmlformats.org/officeDocument/2006/relationships/chart" Target="../charts/chart1.xml"/><Relationship Id="rId1" Type="http://schemas.openxmlformats.org/officeDocument/2006/relationships/image" Target="../media/image1.png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#'Macro-planning'!A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3.xml"/><Relationship Id="rId3" Type="http://schemas.openxmlformats.org/officeDocument/2006/relationships/chart" Target="../charts/chart8.xml"/><Relationship Id="rId7" Type="http://schemas.openxmlformats.org/officeDocument/2006/relationships/chart" Target="../charts/chart12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Relationship Id="rId9" Type="http://schemas.openxmlformats.org/officeDocument/2006/relationships/hyperlink" Target="#'Micro-planning'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17</xdr:row>
      <xdr:rowOff>0</xdr:rowOff>
    </xdr:from>
    <xdr:to>
      <xdr:col>5</xdr:col>
      <xdr:colOff>537181</xdr:colOff>
      <xdr:row>22</xdr:row>
      <xdr:rowOff>52916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6E10B1B7-0E4D-48F6-9863-CBF18BD361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3314700" y="3268980"/>
          <a:ext cx="1398241" cy="96731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</xdr:col>
      <xdr:colOff>167640</xdr:colOff>
      <xdr:row>1</xdr:row>
      <xdr:rowOff>83820</xdr:rowOff>
    </xdr:from>
    <xdr:to>
      <xdr:col>8</xdr:col>
      <xdr:colOff>708660</xdr:colOff>
      <xdr:row>9</xdr:row>
      <xdr:rowOff>53340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B4EEF5B4-A643-6A31-99DA-17E152A2E8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38100</xdr:colOff>
      <xdr:row>9</xdr:row>
      <xdr:rowOff>121920</xdr:rowOff>
    </xdr:from>
    <xdr:to>
      <xdr:col>10</xdr:col>
      <xdr:colOff>647700</xdr:colOff>
      <xdr:row>18</xdr:row>
      <xdr:rowOff>60960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73E54A70-F352-4930-A6F2-3EE60470B8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0</xdr:colOff>
      <xdr:row>19</xdr:row>
      <xdr:rowOff>0</xdr:rowOff>
    </xdr:from>
    <xdr:to>
      <xdr:col>12</xdr:col>
      <xdr:colOff>609600</xdr:colOff>
      <xdr:row>27</xdr:row>
      <xdr:rowOff>121920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DBE46BC-96F9-4EDA-A987-E1E396667C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13</xdr:col>
      <xdr:colOff>0</xdr:colOff>
      <xdr:row>28</xdr:row>
      <xdr:rowOff>0</xdr:rowOff>
    </xdr:from>
    <xdr:to>
      <xdr:col>18</xdr:col>
      <xdr:colOff>609600</xdr:colOff>
      <xdr:row>36</xdr:row>
      <xdr:rowOff>121920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709A7CE4-8BB8-484B-861E-BACBA961B1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0</xdr:colOff>
      <xdr:row>32</xdr:row>
      <xdr:rowOff>0</xdr:rowOff>
    </xdr:from>
    <xdr:to>
      <xdr:col>26</xdr:col>
      <xdr:colOff>609600</xdr:colOff>
      <xdr:row>40</xdr:row>
      <xdr:rowOff>121920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C02E5F11-97A5-4967-BD0E-5C42770D7F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26642</xdr:colOff>
      <xdr:row>0</xdr:row>
      <xdr:rowOff>26644</xdr:rowOff>
    </xdr:from>
    <xdr:to>
      <xdr:col>2</xdr:col>
      <xdr:colOff>5328</xdr:colOff>
      <xdr:row>0</xdr:row>
      <xdr:rowOff>314392</xdr:rowOff>
    </xdr:to>
    <xdr:sp macro="" textlink="">
      <xdr:nvSpPr>
        <xdr:cNvPr id="3" name="Flèche : gauche 2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BDB90C3-D799-22D8-03BC-1899E5EB309E}"/>
            </a:ext>
          </a:extLst>
        </xdr:cNvPr>
        <xdr:cNvSpPr/>
      </xdr:nvSpPr>
      <xdr:spPr>
        <a:xfrm>
          <a:off x="26642" y="26644"/>
          <a:ext cx="1891679" cy="287748"/>
        </a:xfrm>
        <a:prstGeom prst="leftArrow">
          <a:avLst>
            <a:gd name="adj1" fmla="val 85556"/>
            <a:gd name="adj2" fmla="val 50000"/>
          </a:avLst>
        </a:prstGeom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100" b="1">
              <a:latin typeface="Bahnschrift" panose="020B0502040204020203" pitchFamily="34" charset="0"/>
            </a:rPr>
            <a:t>Voi</a:t>
          </a:r>
          <a:r>
            <a:rPr lang="fr-CI" sz="1100" b="1" baseline="0">
              <a:latin typeface="Bahnschrift" panose="020B0502040204020203" pitchFamily="34" charset="0"/>
            </a:rPr>
            <a:t>r Macro-planning</a:t>
          </a:r>
          <a:endParaRPr lang="fr-CI" sz="1100" b="1">
            <a:latin typeface="Bahnschrift" panose="020B0502040204020203" pitchFamily="34" charset="0"/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89551</xdr:rowOff>
    </xdr:from>
    <xdr:to>
      <xdr:col>2</xdr:col>
      <xdr:colOff>2153790</xdr:colOff>
      <xdr:row>9</xdr:row>
      <xdr:rowOff>81735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9FB8B3FC-7E1B-4613-8D9E-3E2E898EB7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6350</xdr:colOff>
      <xdr:row>2</xdr:row>
      <xdr:rowOff>26541</xdr:rowOff>
    </xdr:from>
    <xdr:to>
      <xdr:col>10</xdr:col>
      <xdr:colOff>781050</xdr:colOff>
      <xdr:row>8</xdr:row>
      <xdr:rowOff>355602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EF83BA0A-2C4D-4F9F-ADD5-F41FE0AAE7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1917700</xdr:colOff>
      <xdr:row>2</xdr:row>
      <xdr:rowOff>6350</xdr:rowOff>
    </xdr:from>
    <xdr:to>
      <xdr:col>4</xdr:col>
      <xdr:colOff>787400</xdr:colOff>
      <xdr:row>9</xdr:row>
      <xdr:rowOff>215900</xdr:rowOff>
    </xdr:to>
    <xdr:graphicFrame macro="">
      <xdr:nvGraphicFramePr>
        <xdr:cNvPr id="5" name="Graphique 4">
          <a:extLst>
            <a:ext uri="{FF2B5EF4-FFF2-40B4-BE49-F238E27FC236}">
              <a16:creationId xmlns:a16="http://schemas.microsoft.com/office/drawing/2014/main" id="{8D9CA0F6-CA02-4D62-944A-3AE027BB2ED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6350</xdr:colOff>
      <xdr:row>2</xdr:row>
      <xdr:rowOff>25400</xdr:rowOff>
    </xdr:from>
    <xdr:to>
      <xdr:col>11</xdr:col>
      <xdr:colOff>0</xdr:colOff>
      <xdr:row>8</xdr:row>
      <xdr:rowOff>365760</xdr:rowOff>
    </xdr:to>
    <xdr:graphicFrame macro="">
      <xdr:nvGraphicFramePr>
        <xdr:cNvPr id="6" name="Graphique 5">
          <a:extLst>
            <a:ext uri="{FF2B5EF4-FFF2-40B4-BE49-F238E27FC236}">
              <a16:creationId xmlns:a16="http://schemas.microsoft.com/office/drawing/2014/main" id="{EF26AB67-8D8C-4D3D-90D3-05A8685A32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6350</xdr:colOff>
      <xdr:row>2</xdr:row>
      <xdr:rowOff>25400</xdr:rowOff>
    </xdr:from>
    <xdr:to>
      <xdr:col>14</xdr:col>
      <xdr:colOff>787400</xdr:colOff>
      <xdr:row>8</xdr:row>
      <xdr:rowOff>365760</xdr:rowOff>
    </xdr:to>
    <xdr:graphicFrame macro="">
      <xdr:nvGraphicFramePr>
        <xdr:cNvPr id="7" name="Graphique 6">
          <a:extLst>
            <a:ext uri="{FF2B5EF4-FFF2-40B4-BE49-F238E27FC236}">
              <a16:creationId xmlns:a16="http://schemas.microsoft.com/office/drawing/2014/main" id="{030C0C81-D5CE-452C-A1DB-72E6CDE003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2</xdr:row>
      <xdr:rowOff>25400</xdr:rowOff>
    </xdr:from>
    <xdr:to>
      <xdr:col>19</xdr:col>
      <xdr:colOff>787400</xdr:colOff>
      <xdr:row>8</xdr:row>
      <xdr:rowOff>368300</xdr:rowOff>
    </xdr:to>
    <xdr:graphicFrame macro="">
      <xdr:nvGraphicFramePr>
        <xdr:cNvPr id="8" name="Graphique 7">
          <a:extLst>
            <a:ext uri="{FF2B5EF4-FFF2-40B4-BE49-F238E27FC236}">
              <a16:creationId xmlns:a16="http://schemas.microsoft.com/office/drawing/2014/main" id="{E6FA4FF0-C69D-4612-A5D1-4B7387B5D6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0</xdr:colOff>
      <xdr:row>2</xdr:row>
      <xdr:rowOff>25400</xdr:rowOff>
    </xdr:from>
    <xdr:to>
      <xdr:col>25</xdr:col>
      <xdr:colOff>0</xdr:colOff>
      <xdr:row>8</xdr:row>
      <xdr:rowOff>365760</xdr:rowOff>
    </xdr:to>
    <xdr:graphicFrame macro="">
      <xdr:nvGraphicFramePr>
        <xdr:cNvPr id="9" name="Graphique 8">
          <a:extLst>
            <a:ext uri="{FF2B5EF4-FFF2-40B4-BE49-F238E27FC236}">
              <a16:creationId xmlns:a16="http://schemas.microsoft.com/office/drawing/2014/main" id="{C2718166-0DEC-49CC-B2BF-BFA3FD552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3810</xdr:colOff>
      <xdr:row>2</xdr:row>
      <xdr:rowOff>26670</xdr:rowOff>
    </xdr:from>
    <xdr:to>
      <xdr:col>29</xdr:col>
      <xdr:colOff>0</xdr:colOff>
      <xdr:row>8</xdr:row>
      <xdr:rowOff>368300</xdr:rowOff>
    </xdr:to>
    <xdr:graphicFrame macro="">
      <xdr:nvGraphicFramePr>
        <xdr:cNvPr id="10" name="Graphique 9">
          <a:extLst>
            <a:ext uri="{FF2B5EF4-FFF2-40B4-BE49-F238E27FC236}">
              <a16:creationId xmlns:a16="http://schemas.microsoft.com/office/drawing/2014/main" id="{087B8C99-6948-4B36-B98F-6C3C54CFAC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6</xdr:col>
      <xdr:colOff>0</xdr:colOff>
      <xdr:row>0</xdr:row>
      <xdr:rowOff>0</xdr:rowOff>
    </xdr:from>
    <xdr:to>
      <xdr:col>10</xdr:col>
      <xdr:colOff>660400</xdr:colOff>
      <xdr:row>2</xdr:row>
      <xdr:rowOff>12700</xdr:rowOff>
    </xdr:to>
    <xdr:sp macro="" textlink="">
      <xdr:nvSpPr>
        <xdr:cNvPr id="11" name="Flèche : droite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8659DA33-1FBF-49B3-B756-5190ED23315E}"/>
            </a:ext>
          </a:extLst>
        </xdr:cNvPr>
        <xdr:cNvSpPr/>
      </xdr:nvSpPr>
      <xdr:spPr>
        <a:xfrm>
          <a:off x="6073140" y="0"/>
          <a:ext cx="3830320" cy="447040"/>
        </a:xfrm>
        <a:prstGeom prst="rightArrow">
          <a:avLst>
            <a:gd name="adj1" fmla="val 72222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latin typeface="Bahnschrift" panose="020B0502040204020203" pitchFamily="34" charset="0"/>
            </a:rPr>
            <a:t>Voir</a:t>
          </a:r>
          <a:r>
            <a:rPr lang="fr-CI" sz="1400" b="1" baseline="0">
              <a:latin typeface="Bahnschrift" panose="020B0502040204020203" pitchFamily="34" charset="0"/>
            </a:rPr>
            <a:t> le Micro-planning</a:t>
          </a:r>
          <a:endParaRPr lang="fr-CI" sz="1400" b="1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11</xdr:col>
      <xdr:colOff>0</xdr:colOff>
      <xdr:row>0</xdr:row>
      <xdr:rowOff>0</xdr:rowOff>
    </xdr:from>
    <xdr:to>
      <xdr:col>14</xdr:col>
      <xdr:colOff>787400</xdr:colOff>
      <xdr:row>2</xdr:row>
      <xdr:rowOff>12700</xdr:rowOff>
    </xdr:to>
    <xdr:sp macro="" textlink="">
      <xdr:nvSpPr>
        <xdr:cNvPr id="12" name="Flèche : droite 11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D3BBBFA6-2848-4CA8-8761-15F40A9547A0}"/>
            </a:ext>
          </a:extLst>
        </xdr:cNvPr>
        <xdr:cNvSpPr/>
      </xdr:nvSpPr>
      <xdr:spPr>
        <a:xfrm>
          <a:off x="9913620" y="0"/>
          <a:ext cx="3164840" cy="447040"/>
        </a:xfrm>
        <a:prstGeom prst="rightArrow">
          <a:avLst>
            <a:gd name="adj1" fmla="val 72222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latin typeface="Bahnschrift" panose="020B0502040204020203" pitchFamily="34" charset="0"/>
            </a:rPr>
            <a:t>Voir</a:t>
          </a:r>
          <a:r>
            <a:rPr lang="fr-CI" sz="1400" b="1" baseline="0">
              <a:latin typeface="Bahnschrift" panose="020B0502040204020203" pitchFamily="34" charset="0"/>
            </a:rPr>
            <a:t> le Micro-planning</a:t>
          </a:r>
          <a:endParaRPr lang="fr-CI" sz="1400" b="1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15</xdr:col>
      <xdr:colOff>0</xdr:colOff>
      <xdr:row>0</xdr:row>
      <xdr:rowOff>0</xdr:rowOff>
    </xdr:from>
    <xdr:to>
      <xdr:col>20</xdr:col>
      <xdr:colOff>6350</xdr:colOff>
      <xdr:row>2</xdr:row>
      <xdr:rowOff>12700</xdr:rowOff>
    </xdr:to>
    <xdr:sp macro="" textlink="">
      <xdr:nvSpPr>
        <xdr:cNvPr id="13" name="Flèche : droite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15D2FF02-1C78-4011-9529-CCD133CE408F}"/>
            </a:ext>
          </a:extLst>
        </xdr:cNvPr>
        <xdr:cNvSpPr/>
      </xdr:nvSpPr>
      <xdr:spPr>
        <a:xfrm>
          <a:off x="13083540" y="0"/>
          <a:ext cx="3968750" cy="447040"/>
        </a:xfrm>
        <a:prstGeom prst="rightArrow">
          <a:avLst>
            <a:gd name="adj1" fmla="val 72222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latin typeface="Bahnschrift" panose="020B0502040204020203" pitchFamily="34" charset="0"/>
            </a:rPr>
            <a:t>Voir</a:t>
          </a:r>
          <a:r>
            <a:rPr lang="fr-CI" sz="1400" b="1" baseline="0">
              <a:latin typeface="Bahnschrift" panose="020B0502040204020203" pitchFamily="34" charset="0"/>
            </a:rPr>
            <a:t> le Micro-planning</a:t>
          </a:r>
          <a:endParaRPr lang="fr-CI" sz="1400" b="1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20</xdr:col>
      <xdr:colOff>0</xdr:colOff>
      <xdr:row>0</xdr:row>
      <xdr:rowOff>0</xdr:rowOff>
    </xdr:from>
    <xdr:to>
      <xdr:col>25</xdr:col>
      <xdr:colOff>6350</xdr:colOff>
      <xdr:row>2</xdr:row>
      <xdr:rowOff>12700</xdr:rowOff>
    </xdr:to>
    <xdr:sp macro="" textlink="">
      <xdr:nvSpPr>
        <xdr:cNvPr id="14" name="Flèche : droite 13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C4D1EBCE-D607-458B-9D61-587CBBFEE79C}"/>
            </a:ext>
          </a:extLst>
        </xdr:cNvPr>
        <xdr:cNvSpPr/>
      </xdr:nvSpPr>
      <xdr:spPr>
        <a:xfrm>
          <a:off x="17045940" y="0"/>
          <a:ext cx="3968750" cy="447040"/>
        </a:xfrm>
        <a:prstGeom prst="rightArrow">
          <a:avLst>
            <a:gd name="adj1" fmla="val 72222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latin typeface="Bahnschrift" panose="020B0502040204020203" pitchFamily="34" charset="0"/>
            </a:rPr>
            <a:t>Voir</a:t>
          </a:r>
          <a:r>
            <a:rPr lang="fr-CI" sz="1400" b="1" baseline="0">
              <a:latin typeface="Bahnschrift" panose="020B0502040204020203" pitchFamily="34" charset="0"/>
            </a:rPr>
            <a:t> le Micro-planning</a:t>
          </a:r>
          <a:endParaRPr lang="fr-CI" sz="1400" b="1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25</xdr:col>
      <xdr:colOff>6350</xdr:colOff>
      <xdr:row>0</xdr:row>
      <xdr:rowOff>0</xdr:rowOff>
    </xdr:from>
    <xdr:to>
      <xdr:col>28</xdr:col>
      <xdr:colOff>781050</xdr:colOff>
      <xdr:row>2</xdr:row>
      <xdr:rowOff>12700</xdr:rowOff>
    </xdr:to>
    <xdr:sp macro="" textlink="">
      <xdr:nvSpPr>
        <xdr:cNvPr id="15" name="Flèche : droite 14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FBE91AA-1AE3-4150-A3C9-C53C6D7A0C6A}"/>
            </a:ext>
          </a:extLst>
        </xdr:cNvPr>
        <xdr:cNvSpPr/>
      </xdr:nvSpPr>
      <xdr:spPr>
        <a:xfrm>
          <a:off x="21014690" y="0"/>
          <a:ext cx="3152140" cy="447040"/>
        </a:xfrm>
        <a:prstGeom prst="rightArrow">
          <a:avLst>
            <a:gd name="adj1" fmla="val 72222"/>
            <a:gd name="adj2" fmla="val 50000"/>
          </a:avLst>
        </a:prstGeom>
        <a:solidFill>
          <a:schemeClr val="accent2">
            <a:lumMod val="60000"/>
            <a:lumOff val="40000"/>
          </a:scheme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latin typeface="Bahnschrift" panose="020B0502040204020203" pitchFamily="34" charset="0"/>
            </a:rPr>
            <a:t>Voir</a:t>
          </a:r>
          <a:r>
            <a:rPr lang="fr-CI" sz="1400" b="1" baseline="0">
              <a:latin typeface="Bahnschrift" panose="020B0502040204020203" pitchFamily="34" charset="0"/>
            </a:rPr>
            <a:t> le Micro-planning</a:t>
          </a:r>
          <a:endParaRPr lang="fr-CI" sz="1400" b="1">
            <a:latin typeface="Bahnschrift" panose="020B0502040204020203" pitchFamily="34" charset="0"/>
          </a:endParaRPr>
        </a:p>
      </xdr:txBody>
    </xdr:sp>
    <xdr:clientData/>
  </xdr:twoCellAnchor>
  <xdr:twoCellAnchor>
    <xdr:from>
      <xdr:col>0</xdr:col>
      <xdr:colOff>159099</xdr:colOff>
      <xdr:row>0</xdr:row>
      <xdr:rowOff>33494</xdr:rowOff>
    </xdr:from>
    <xdr:to>
      <xdr:col>4</xdr:col>
      <xdr:colOff>745209</xdr:colOff>
      <xdr:row>1</xdr:row>
      <xdr:rowOff>206119</xdr:rowOff>
    </xdr:to>
    <xdr:sp macro="" textlink="">
      <xdr:nvSpPr>
        <xdr:cNvPr id="16" name="Rectangle : coins arrondis 15">
          <a:extLst>
            <a:ext uri="{FF2B5EF4-FFF2-40B4-BE49-F238E27FC236}">
              <a16:creationId xmlns:a16="http://schemas.microsoft.com/office/drawing/2014/main" id="{9F52E773-2B10-404E-A362-D86DC9EE6FD8}"/>
            </a:ext>
          </a:extLst>
        </xdr:cNvPr>
        <xdr:cNvSpPr/>
      </xdr:nvSpPr>
      <xdr:spPr>
        <a:xfrm>
          <a:off x="159099" y="33494"/>
          <a:ext cx="5811253" cy="398713"/>
        </a:xfrm>
        <a:prstGeom prst="roundRect">
          <a:avLst>
            <a:gd name="adj" fmla="val 10318"/>
          </a:avLst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fr-CI" sz="1400" b="1">
              <a:solidFill>
                <a:schemeClr val="bg1"/>
              </a:solidFill>
              <a:latin typeface="Bahnschrift" panose="020B0502040204020203" pitchFamily="34" charset="0"/>
            </a:rPr>
            <a:t>Macro-planning projet d'interopérabilité CNAM/MSHPCMU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650D0ED-F3FB-4482-9C88-7C7DF24B9503}" name="Tableau1" displayName="Tableau1" ref="A2:J26" totalsRowShown="0" headerRowDxfId="16" headerRowBorderDxfId="15" tableBorderDxfId="14">
  <autoFilter ref="A2:J26" xr:uid="{6650D0ED-F3FB-4482-9C88-7C7DF24B9503}"/>
  <tableColumns count="10">
    <tableColumn id="1" xr3:uid="{5EE4D5C4-53C1-4B0F-931D-834243067CDD}" name="N°" dataDxfId="13"/>
    <tableColumn id="2" xr3:uid="{B2D68E88-E062-4D69-B46D-B9064D921395}" name="Entites" dataDxfId="12"/>
    <tableColumn id="3" xr3:uid="{2B998882-E450-4BF6-9460-180CA6D8C913}" name="Actions" dataDxfId="11"/>
    <tableColumn id="4" xr3:uid="{6507E856-00FB-47F9-8B2A-A672F8018720}" name="Date debut" dataDxfId="10"/>
    <tableColumn id="5" xr3:uid="{C7C3C5B5-F9AE-464B-A71C-917EF518661C}" name="Date fin" dataDxfId="9"/>
    <tableColumn id="6" xr3:uid="{B4F2119D-4E31-4839-9589-912B5902C60B}" name="Mois" dataDxfId="8">
      <calculatedColumnFormula>MONTH(E3)</calculatedColumnFormula>
    </tableColumn>
    <tableColumn id="7" xr3:uid="{7666E06A-519E-4CA3-B531-8DC176AA113F}" name="Statut" dataDxfId="7"/>
    <tableColumn id="8" xr3:uid="{2A4D3367-2B0C-491D-9119-6670A5690E4D}" name="Acteurs" dataDxfId="6"/>
    <tableColumn id="9" xr3:uid="{5696651C-D569-4046-96D1-954B498D9952}" name="Dépendance" dataDxfId="5"/>
    <tableColumn id="10" xr3:uid="{023FF08C-1641-4F08-8E7D-214E9F73299B}" name="Observations" dataDxfId="4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F2423-FB07-4DD2-9362-E1E96D817F9C}">
  <dimension ref="B1:W21"/>
  <sheetViews>
    <sheetView topLeftCell="A2" workbookViewId="0">
      <selection activeCell="B15" sqref="B15:B21"/>
    </sheetView>
  </sheetViews>
  <sheetFormatPr baseColWidth="10" defaultRowHeight="14.4" x14ac:dyDescent="0.3"/>
  <cols>
    <col min="2" max="2" width="13.6640625" customWidth="1"/>
    <col min="5" max="5" width="12.5546875" bestFit="1" customWidth="1"/>
  </cols>
  <sheetData>
    <row r="1" spans="2:23" ht="15" thickBot="1" x14ac:dyDescent="0.35">
      <c r="I1" s="120" t="s">
        <v>1</v>
      </c>
      <c r="J1" s="120"/>
      <c r="K1" s="120"/>
      <c r="L1" s="120"/>
      <c r="M1" s="120"/>
      <c r="P1" s="120" t="s">
        <v>1</v>
      </c>
      <c r="Q1" s="120"/>
      <c r="R1" s="120"/>
      <c r="S1" s="120"/>
      <c r="T1" s="120"/>
    </row>
    <row r="2" spans="2:23" ht="21" x14ac:dyDescent="0.3">
      <c r="B2" s="118" t="s">
        <v>56</v>
      </c>
      <c r="C2" s="119"/>
      <c r="J2" t="s">
        <v>67</v>
      </c>
      <c r="K2" t="s">
        <v>55</v>
      </c>
      <c r="L2" t="s">
        <v>68</v>
      </c>
      <c r="M2" t="s">
        <v>69</v>
      </c>
      <c r="Q2" t="s">
        <v>67</v>
      </c>
      <c r="R2" t="s">
        <v>55</v>
      </c>
      <c r="S2" t="s">
        <v>68</v>
      </c>
      <c r="T2" t="s">
        <v>69</v>
      </c>
    </row>
    <row r="3" spans="2:23" ht="15.6" x14ac:dyDescent="0.3">
      <c r="B3" s="51" t="s">
        <v>67</v>
      </c>
      <c r="C3" s="44"/>
      <c r="E3" t="s">
        <v>67</v>
      </c>
      <c r="F3" s="53">
        <f>G3/$G$7</f>
        <v>0.33333333333333331</v>
      </c>
      <c r="G3">
        <f>COUNTIFS('Micro-planning'!G:G,Feuil1!E3)</f>
        <v>8</v>
      </c>
      <c r="I3" t="str" cm="1">
        <f t="array" ref="I3:I9">_xlfn.UNIQUE('Micro-planning'!B3:B26)</f>
        <v>MSHPCMU</v>
      </c>
      <c r="J3" s="33">
        <f>COUNTIFS('Micro-planning'!$B:$B,Feuil1!$I3,'Micro-planning'!$G:$G,Feuil1!J$2)</f>
        <v>0</v>
      </c>
      <c r="K3" s="33">
        <f>COUNTIFS('Micro-planning'!$B:$B,Feuil1!$I3,'Micro-planning'!$G:$G,Feuil1!K$2)</f>
        <v>1</v>
      </c>
      <c r="L3" s="33">
        <f>COUNTIFS('Micro-planning'!$B:$B,Feuil1!$I3,'Micro-planning'!$G:$G,Feuil1!L$2)</f>
        <v>2</v>
      </c>
      <c r="M3" s="33">
        <f>COUNTIFS('Micro-planning'!$B:$B,Feuil1!$I3,'Micro-planning'!$G:$G,Feuil1!M$2)</f>
        <v>0</v>
      </c>
      <c r="O3">
        <v>10</v>
      </c>
      <c r="P3" t="s">
        <v>1</v>
      </c>
      <c r="Q3" s="33">
        <f>COUNTIFS('Micro-planning'!$F:$F,Feuil1!$O3,'Micro-planning'!$G:$G,Feuil1!Q$2)</f>
        <v>5</v>
      </c>
      <c r="R3" s="33">
        <f>COUNTIFS('Micro-planning'!$F:$F,Feuil1!$O3,'Micro-planning'!$G:$G,Feuil1!R$2)</f>
        <v>2</v>
      </c>
      <c r="S3" s="33">
        <f>COUNTIFS('Micro-planning'!$F:$F,Feuil1!$O3,'Micro-planning'!$G:$G,Feuil1!S$2)</f>
        <v>5</v>
      </c>
      <c r="T3" s="33">
        <f>COUNTIFS('Micro-planning'!$F:$F,Feuil1!$O3,'Micro-planning'!$G:$G,Feuil1!T$2)</f>
        <v>4</v>
      </c>
      <c r="V3">
        <v>1</v>
      </c>
      <c r="W3" t="s">
        <v>71</v>
      </c>
    </row>
    <row r="4" spans="2:23" ht="15.6" x14ac:dyDescent="0.3">
      <c r="B4" s="51" t="s">
        <v>55</v>
      </c>
      <c r="C4" s="45"/>
      <c r="E4" t="s">
        <v>55</v>
      </c>
      <c r="F4" s="53">
        <f t="shared" ref="F4:F6" si="0">G4/$G$7</f>
        <v>0.25</v>
      </c>
      <c r="G4">
        <f>COUNTIFS('Micro-planning'!G:G,Feuil1!E4)</f>
        <v>6</v>
      </c>
      <c r="I4" t="str">
        <v>Partenaires techniques</v>
      </c>
      <c r="J4" s="33">
        <f>COUNTIFS('Micro-planning'!$B:$B,Feuil1!$I4,'Micro-planning'!$G:$G,Feuil1!J$2)</f>
        <v>4</v>
      </c>
      <c r="K4" s="33">
        <f>COUNTIFS('Micro-planning'!$B:$B,Feuil1!$I4,'Micro-planning'!$G:$G,Feuil1!K$2)</f>
        <v>1</v>
      </c>
      <c r="L4" s="33">
        <f>COUNTIFS('Micro-planning'!$B:$B,Feuil1!$I4,'Micro-planning'!$G:$G,Feuil1!L$2)</f>
        <v>1</v>
      </c>
      <c r="M4" s="33">
        <f>COUNTIFS('Micro-planning'!$B:$B,Feuil1!$I4,'Micro-planning'!$G:$G,Feuil1!M$2)</f>
        <v>2</v>
      </c>
      <c r="O4">
        <v>11</v>
      </c>
      <c r="P4" t="s">
        <v>2</v>
      </c>
      <c r="Q4" s="33">
        <f>COUNTIFS('Micro-planning'!$F:$F,Feuil1!$O4,'Micro-planning'!$G:$G,Feuil1!Q$2)</f>
        <v>1</v>
      </c>
      <c r="R4" s="33">
        <f>COUNTIFS('Micro-planning'!$F:$F,Feuil1!$O4,'Micro-planning'!$G:$G,Feuil1!R$2)</f>
        <v>1</v>
      </c>
      <c r="S4" s="33">
        <f>COUNTIFS('Micro-planning'!$F:$F,Feuil1!$O4,'Micro-planning'!$G:$G,Feuil1!S$2)</f>
        <v>1</v>
      </c>
      <c r="T4" s="33">
        <f>COUNTIFS('Micro-planning'!$F:$F,Feuil1!$O4,'Micro-planning'!$G:$G,Feuil1!T$2)</f>
        <v>0</v>
      </c>
      <c r="V4">
        <v>2</v>
      </c>
      <c r="W4" t="s">
        <v>72</v>
      </c>
    </row>
    <row r="5" spans="2:23" ht="15.6" x14ac:dyDescent="0.3">
      <c r="B5" s="51" t="s">
        <v>68</v>
      </c>
      <c r="C5" s="46"/>
      <c r="E5" t="s">
        <v>68</v>
      </c>
      <c r="F5" s="53">
        <f t="shared" si="0"/>
        <v>0.25</v>
      </c>
      <c r="G5">
        <f>COUNTIFS('Micro-planning'!G:G,Feuil1!E5)</f>
        <v>6</v>
      </c>
      <c r="I5" t="str">
        <v>MTND</v>
      </c>
      <c r="J5" s="33">
        <f>COUNTIFS('Micro-planning'!$B:$B,Feuil1!$I5,'Micro-planning'!$G:$G,Feuil1!J$2)</f>
        <v>1</v>
      </c>
      <c r="K5" s="33">
        <f>COUNTIFS('Micro-planning'!$B:$B,Feuil1!$I5,'Micro-planning'!$G:$G,Feuil1!K$2)</f>
        <v>0</v>
      </c>
      <c r="L5" s="33">
        <f>COUNTIFS('Micro-planning'!$B:$B,Feuil1!$I5,'Micro-planning'!$G:$G,Feuil1!L$2)</f>
        <v>1</v>
      </c>
      <c r="M5" s="33">
        <f>COUNTIFS('Micro-planning'!$B:$B,Feuil1!$I5,'Micro-planning'!$G:$G,Feuil1!M$2)</f>
        <v>0</v>
      </c>
      <c r="O5">
        <v>12</v>
      </c>
      <c r="P5" t="s">
        <v>70</v>
      </c>
      <c r="Q5" s="33">
        <f>COUNTIFS('Micro-planning'!$F:$F,Feuil1!$O5,'Micro-planning'!$G:$G,Feuil1!Q$2)</f>
        <v>0</v>
      </c>
      <c r="R5" s="33">
        <f>COUNTIFS('Micro-planning'!$F:$F,Feuil1!$O5,'Micro-planning'!$G:$G,Feuil1!R$2)</f>
        <v>1</v>
      </c>
      <c r="S5" s="33">
        <f>COUNTIFS('Micro-planning'!$F:$F,Feuil1!$O5,'Micro-planning'!$G:$G,Feuil1!S$2)</f>
        <v>0</v>
      </c>
      <c r="T5" s="33">
        <f>COUNTIFS('Micro-planning'!$F:$F,Feuil1!$O5,'Micro-planning'!$G:$G,Feuil1!T$2)</f>
        <v>0</v>
      </c>
      <c r="V5">
        <v>3</v>
      </c>
      <c r="W5" t="s">
        <v>74</v>
      </c>
    </row>
    <row r="6" spans="2:23" ht="16.2" thickBot="1" x14ac:dyDescent="0.35">
      <c r="B6" s="52" t="s">
        <v>69</v>
      </c>
      <c r="C6" s="47"/>
      <c r="E6" t="s">
        <v>69</v>
      </c>
      <c r="F6" s="53">
        <f t="shared" si="0"/>
        <v>0.16666666666666666</v>
      </c>
      <c r="G6">
        <f>COUNTIFS('Micro-planning'!G:G,Feuil1!E6)</f>
        <v>4</v>
      </c>
      <c r="I6" t="str">
        <v>GTT</v>
      </c>
      <c r="J6" s="33">
        <f>COUNTIFS('Micro-planning'!$B:$B,Feuil1!$I6,'Micro-planning'!$G:$G,Feuil1!J$2)</f>
        <v>1</v>
      </c>
      <c r="K6" s="33">
        <f>COUNTIFS('Micro-planning'!$B:$B,Feuil1!$I6,'Micro-planning'!$G:$G,Feuil1!K$2)</f>
        <v>1</v>
      </c>
      <c r="L6" s="33">
        <f>COUNTIFS('Micro-planning'!$B:$B,Feuil1!$I6,'Micro-planning'!$G:$G,Feuil1!L$2)</f>
        <v>1</v>
      </c>
      <c r="M6" s="33">
        <f>COUNTIFS('Micro-planning'!$B:$B,Feuil1!$I6,'Micro-planning'!$G:$G,Feuil1!M$2)</f>
        <v>1</v>
      </c>
      <c r="O6">
        <v>1</v>
      </c>
      <c r="P6" t="s">
        <v>71</v>
      </c>
      <c r="Q6" s="33">
        <f>COUNTIFS('Micro-planning'!$F:$F,Feuil1!$O6,'Micro-planning'!$G:$G,Feuil1!Q$2)</f>
        <v>1</v>
      </c>
      <c r="R6" s="33">
        <f>COUNTIFS('Micro-planning'!$F:$F,Feuil1!$O6,'Micro-planning'!$G:$G,Feuil1!R$2)</f>
        <v>1</v>
      </c>
      <c r="S6" s="33">
        <f>COUNTIFS('Micro-planning'!$F:$F,Feuil1!$O6,'Micro-planning'!$G:$G,Feuil1!S$2)</f>
        <v>0</v>
      </c>
      <c r="T6" s="33">
        <f>COUNTIFS('Micro-planning'!$F:$F,Feuil1!$O6,'Micro-planning'!$G:$G,Feuil1!T$2)</f>
        <v>0</v>
      </c>
      <c r="V6">
        <v>4</v>
      </c>
      <c r="W6" t="s">
        <v>75</v>
      </c>
    </row>
    <row r="7" spans="2:23" x14ac:dyDescent="0.3">
      <c r="G7">
        <f>SUM(G3:G6)</f>
        <v>24</v>
      </c>
      <c r="I7" t="str">
        <v>MEPS</v>
      </c>
      <c r="J7" s="33">
        <f>COUNTIFS('Micro-planning'!$B:$B,Feuil1!$I7,'Micro-planning'!$G:$G,Feuil1!J$2)</f>
        <v>2</v>
      </c>
      <c r="K7" s="33">
        <f>COUNTIFS('Micro-planning'!$B:$B,Feuil1!$I7,'Micro-planning'!$G:$G,Feuil1!K$2)</f>
        <v>1</v>
      </c>
      <c r="L7" s="33">
        <f>COUNTIFS('Micro-planning'!$B:$B,Feuil1!$I7,'Micro-planning'!$G:$G,Feuil1!L$2)</f>
        <v>0</v>
      </c>
      <c r="M7" s="33">
        <f>COUNTIFS('Micro-planning'!$B:$B,Feuil1!$I7,'Micro-planning'!$G:$G,Feuil1!M$2)</f>
        <v>1</v>
      </c>
      <c r="O7">
        <v>2</v>
      </c>
      <c r="P7" t="s">
        <v>72</v>
      </c>
      <c r="Q7" s="33">
        <f>COUNTIFS('Micro-planning'!$F:$F,Feuil1!$O7,'Micro-planning'!$G:$G,Feuil1!Q$2)</f>
        <v>1</v>
      </c>
      <c r="R7" s="33">
        <f>COUNTIFS('Micro-planning'!$F:$F,Feuil1!$O7,'Micro-planning'!$G:$G,Feuil1!R$2)</f>
        <v>1</v>
      </c>
      <c r="S7" s="33">
        <f>COUNTIFS('Micro-planning'!$F:$F,Feuil1!$O7,'Micro-planning'!$G:$G,Feuil1!S$2)</f>
        <v>0</v>
      </c>
      <c r="T7" s="33">
        <f>COUNTIFS('Micro-planning'!$F:$F,Feuil1!$O7,'Micro-planning'!$G:$G,Feuil1!T$2)</f>
        <v>0</v>
      </c>
      <c r="V7">
        <v>5</v>
      </c>
      <c r="W7" t="s">
        <v>76</v>
      </c>
    </row>
    <row r="8" spans="2:23" x14ac:dyDescent="0.3">
      <c r="I8" t="str">
        <v>MSHPCMU / Partenaires techniques</v>
      </c>
      <c r="J8" s="33">
        <f>COUNTIFS('Micro-planning'!$B:$B,Feuil1!$I8,'Micro-planning'!$G:$G,Feuil1!J$2)</f>
        <v>0</v>
      </c>
      <c r="K8" s="33">
        <f>COUNTIFS('Micro-planning'!$B:$B,Feuil1!$I8,'Micro-planning'!$G:$G,Feuil1!K$2)</f>
        <v>1</v>
      </c>
      <c r="L8" s="33">
        <f>COUNTIFS('Micro-planning'!$B:$B,Feuil1!$I8,'Micro-planning'!$G:$G,Feuil1!L$2)</f>
        <v>1</v>
      </c>
      <c r="M8" s="33">
        <f>COUNTIFS('Micro-planning'!$B:$B,Feuil1!$I8,'Micro-planning'!$G:$G,Feuil1!M$2)</f>
        <v>0</v>
      </c>
      <c r="Q8" s="33"/>
      <c r="R8" s="33"/>
      <c r="S8" s="33"/>
      <c r="T8" s="33"/>
      <c r="V8">
        <v>6</v>
      </c>
      <c r="W8" t="s">
        <v>77</v>
      </c>
    </row>
    <row r="9" spans="2:23" x14ac:dyDescent="0.3">
      <c r="I9" t="str">
        <v>MHSPCM / MEPS / Partenaires techniques</v>
      </c>
      <c r="J9" s="33">
        <f>COUNTIFS('Micro-planning'!$B:$B,Feuil1!$I9,'Micro-planning'!$G:$G,Feuil1!J$2)</f>
        <v>0</v>
      </c>
      <c r="K9" s="33">
        <f>COUNTIFS('Micro-planning'!$B:$B,Feuil1!$I9,'Micro-planning'!$G:$G,Feuil1!K$2)</f>
        <v>1</v>
      </c>
      <c r="L9" s="33">
        <f>COUNTIFS('Micro-planning'!$B:$B,Feuil1!$I9,'Micro-planning'!$G:$G,Feuil1!L$2)</f>
        <v>0</v>
      </c>
      <c r="M9" s="33">
        <f>COUNTIFS('Micro-planning'!$B:$B,Feuil1!$I9,'Micro-planning'!$G:$G,Feuil1!M$2)</f>
        <v>0</v>
      </c>
      <c r="Q9" s="33"/>
      <c r="R9" s="33"/>
      <c r="S9" s="33"/>
      <c r="T9" s="33"/>
      <c r="V9">
        <v>7</v>
      </c>
      <c r="W9" t="s">
        <v>78</v>
      </c>
    </row>
    <row r="10" spans="2:23" x14ac:dyDescent="0.3">
      <c r="V10">
        <v>8</v>
      </c>
      <c r="W10" t="s">
        <v>79</v>
      </c>
    </row>
    <row r="11" spans="2:23" x14ac:dyDescent="0.3">
      <c r="V11">
        <v>9</v>
      </c>
      <c r="W11" t="s">
        <v>0</v>
      </c>
    </row>
    <row r="12" spans="2:23" x14ac:dyDescent="0.3">
      <c r="V12">
        <v>10</v>
      </c>
      <c r="W12" t="s">
        <v>1</v>
      </c>
    </row>
    <row r="13" spans="2:23" x14ac:dyDescent="0.3">
      <c r="V13">
        <v>11</v>
      </c>
      <c r="W13" t="s">
        <v>2</v>
      </c>
    </row>
    <row r="14" spans="2:23" x14ac:dyDescent="0.3">
      <c r="V14">
        <v>12</v>
      </c>
      <c r="W14" t="s">
        <v>70</v>
      </c>
    </row>
    <row r="15" spans="2:23" x14ac:dyDescent="0.3">
      <c r="B15" t="s">
        <v>15</v>
      </c>
    </row>
    <row r="16" spans="2:23" x14ac:dyDescent="0.3">
      <c r="B16" t="s">
        <v>37</v>
      </c>
    </row>
    <row r="17" spans="2:2" x14ac:dyDescent="0.3">
      <c r="B17" t="s">
        <v>16</v>
      </c>
    </row>
    <row r="18" spans="2:2" x14ac:dyDescent="0.3">
      <c r="B18" t="s">
        <v>63</v>
      </c>
    </row>
    <row r="19" spans="2:2" x14ac:dyDescent="0.3">
      <c r="B19" t="s">
        <v>33</v>
      </c>
    </row>
    <row r="20" spans="2:2" x14ac:dyDescent="0.3">
      <c r="B20" t="s">
        <v>32</v>
      </c>
    </row>
    <row r="21" spans="2:2" x14ac:dyDescent="0.3">
      <c r="B21" t="s">
        <v>17</v>
      </c>
    </row>
  </sheetData>
  <sortState xmlns:xlrd2="http://schemas.microsoft.com/office/spreadsheetml/2017/richdata2" ref="B16:B21">
    <sortCondition ref="B15:B21"/>
  </sortState>
  <mergeCells count="3">
    <mergeCell ref="B2:C2"/>
    <mergeCell ref="I1:M1"/>
    <mergeCell ref="P1:T1"/>
  </mergeCells>
  <phoneticPr fontId="15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BF4C8-9F1C-4A46-AE35-1E0DFD55D5E3}">
  <dimension ref="A1:J26"/>
  <sheetViews>
    <sheetView showGridLines="0" zoomScale="119" zoomScaleNormal="180" workbookViewId="0">
      <pane ySplit="2" topLeftCell="A19" activePane="bottomLeft" state="frozen"/>
      <selection pane="bottomLeft" activeCell="B21" sqref="B21"/>
    </sheetView>
  </sheetViews>
  <sheetFormatPr baseColWidth="10" defaultRowHeight="14.4" x14ac:dyDescent="0.3"/>
  <cols>
    <col min="1" max="1" width="8.44140625" style="43" customWidth="1"/>
    <col min="2" max="2" width="19.44140625" style="12" bestFit="1" customWidth="1"/>
    <col min="3" max="3" width="64.33203125" style="13" customWidth="1"/>
    <col min="4" max="6" width="11.5546875" style="27"/>
    <col min="7" max="7" width="13.109375" style="14" customWidth="1"/>
    <col min="8" max="8" width="29.88671875" style="13" customWidth="1"/>
    <col min="9" max="9" width="22.44140625" style="24" customWidth="1"/>
    <col min="10" max="10" width="27" style="24" customWidth="1"/>
  </cols>
  <sheetData>
    <row r="1" spans="1:10" ht="27.6" customHeight="1" x14ac:dyDescent="0.3">
      <c r="A1" s="33"/>
      <c r="B1" s="112"/>
      <c r="C1" s="113"/>
      <c r="D1" s="33"/>
      <c r="E1" s="33"/>
      <c r="F1" s="33"/>
      <c r="G1" s="112"/>
      <c r="H1" s="113"/>
      <c r="I1" s="113"/>
      <c r="J1" s="113"/>
    </row>
    <row r="2" spans="1:10" ht="15" thickBot="1" x14ac:dyDescent="0.35">
      <c r="A2" s="9" t="s">
        <v>57</v>
      </c>
      <c r="B2" s="115" t="s">
        <v>80</v>
      </c>
      <c r="C2" s="11" t="s">
        <v>9</v>
      </c>
      <c r="D2" s="10" t="s">
        <v>11</v>
      </c>
      <c r="E2" s="10" t="s">
        <v>12</v>
      </c>
      <c r="F2" s="10" t="s">
        <v>73</v>
      </c>
      <c r="G2" s="10" t="s">
        <v>13</v>
      </c>
      <c r="H2" s="11" t="s">
        <v>10</v>
      </c>
      <c r="I2" s="21" t="s">
        <v>26</v>
      </c>
      <c r="J2" s="21" t="s">
        <v>14</v>
      </c>
    </row>
    <row r="3" spans="1:10" ht="29.4" thickTop="1" x14ac:dyDescent="0.3">
      <c r="A3" s="41">
        <v>1</v>
      </c>
      <c r="B3" s="15" t="s">
        <v>15</v>
      </c>
      <c r="C3" s="16" t="s">
        <v>18</v>
      </c>
      <c r="D3" s="25">
        <v>45943</v>
      </c>
      <c r="E3" s="25">
        <v>45950</v>
      </c>
      <c r="F3" s="54">
        <f>MONTH(E3)</f>
        <v>10</v>
      </c>
      <c r="G3" s="17" t="s">
        <v>68</v>
      </c>
      <c r="H3" s="16" t="s">
        <v>25</v>
      </c>
      <c r="I3" s="22"/>
      <c r="J3" s="22"/>
    </row>
    <row r="4" spans="1:10" ht="23.4" customHeight="1" x14ac:dyDescent="0.3">
      <c r="A4" s="42">
        <v>2</v>
      </c>
      <c r="B4" s="18" t="s">
        <v>85</v>
      </c>
      <c r="C4" s="19" t="s">
        <v>39</v>
      </c>
      <c r="D4" s="26">
        <v>45943</v>
      </c>
      <c r="E4" s="26">
        <v>45945</v>
      </c>
      <c r="F4" s="55">
        <f>MONTH(E4)</f>
        <v>10</v>
      </c>
      <c r="G4" s="20" t="s">
        <v>68</v>
      </c>
      <c r="H4" s="19" t="s">
        <v>27</v>
      </c>
      <c r="I4" s="23"/>
      <c r="J4" s="23"/>
    </row>
    <row r="5" spans="1:10" ht="25.2" customHeight="1" x14ac:dyDescent="0.3">
      <c r="A5" s="42">
        <v>3</v>
      </c>
      <c r="B5" s="18" t="s">
        <v>85</v>
      </c>
      <c r="C5" s="19" t="s">
        <v>21</v>
      </c>
      <c r="D5" s="26">
        <v>45943</v>
      </c>
      <c r="E5" s="26">
        <v>45960</v>
      </c>
      <c r="F5" s="55">
        <f t="shared" ref="F5:F26" si="0">MONTH(E5)</f>
        <v>10</v>
      </c>
      <c r="G5" s="20" t="s">
        <v>67</v>
      </c>
      <c r="H5" s="19" t="s">
        <v>27</v>
      </c>
      <c r="I5" s="23"/>
      <c r="J5" s="23"/>
    </row>
    <row r="6" spans="1:10" ht="28.8" x14ac:dyDescent="0.3">
      <c r="A6" s="42">
        <v>4</v>
      </c>
      <c r="B6" s="18" t="s">
        <v>15</v>
      </c>
      <c r="C6" s="19" t="s">
        <v>43</v>
      </c>
      <c r="D6" s="26">
        <v>45943</v>
      </c>
      <c r="E6" s="26">
        <v>45945</v>
      </c>
      <c r="F6" s="55">
        <f t="shared" si="0"/>
        <v>10</v>
      </c>
      <c r="G6" s="20" t="s">
        <v>55</v>
      </c>
      <c r="H6" s="19" t="s">
        <v>25</v>
      </c>
      <c r="I6" s="23"/>
      <c r="J6" s="23"/>
    </row>
    <row r="7" spans="1:10" ht="27.6" customHeight="1" x14ac:dyDescent="0.3">
      <c r="A7" s="42">
        <v>5</v>
      </c>
      <c r="B7" s="18" t="s">
        <v>15</v>
      </c>
      <c r="C7" s="19" t="s">
        <v>52</v>
      </c>
      <c r="D7" s="26">
        <v>45945</v>
      </c>
      <c r="E7" s="26">
        <v>45950</v>
      </c>
      <c r="F7" s="55">
        <f t="shared" si="0"/>
        <v>10</v>
      </c>
      <c r="G7" s="20" t="s">
        <v>68</v>
      </c>
      <c r="H7" s="19" t="s">
        <v>53</v>
      </c>
      <c r="I7" s="23"/>
      <c r="J7" s="23"/>
    </row>
    <row r="8" spans="1:10" ht="27" customHeight="1" x14ac:dyDescent="0.3">
      <c r="A8" s="42">
        <v>6</v>
      </c>
      <c r="B8" s="18" t="s">
        <v>85</v>
      </c>
      <c r="C8" s="19" t="s">
        <v>19</v>
      </c>
      <c r="D8" s="26">
        <v>45946</v>
      </c>
      <c r="E8" s="26">
        <v>45956</v>
      </c>
      <c r="F8" s="55">
        <f t="shared" si="0"/>
        <v>10</v>
      </c>
      <c r="G8" s="20" t="s">
        <v>69</v>
      </c>
      <c r="H8" s="19" t="s">
        <v>27</v>
      </c>
      <c r="I8" s="23"/>
      <c r="J8" s="23"/>
    </row>
    <row r="9" spans="1:10" ht="23.4" customHeight="1" x14ac:dyDescent="0.3">
      <c r="A9" s="42">
        <v>7</v>
      </c>
      <c r="B9" s="18" t="s">
        <v>32</v>
      </c>
      <c r="C9" s="19" t="s">
        <v>22</v>
      </c>
      <c r="D9" s="26">
        <v>45946</v>
      </c>
      <c r="E9" s="26">
        <v>45950</v>
      </c>
      <c r="F9" s="55">
        <f t="shared" si="0"/>
        <v>10</v>
      </c>
      <c r="G9" s="20" t="s">
        <v>67</v>
      </c>
      <c r="H9" s="19" t="s">
        <v>35</v>
      </c>
      <c r="I9" s="23"/>
      <c r="J9" s="23"/>
    </row>
    <row r="10" spans="1:10" ht="30" customHeight="1" x14ac:dyDescent="0.3">
      <c r="A10" s="42">
        <v>8</v>
      </c>
      <c r="B10" s="18" t="s">
        <v>37</v>
      </c>
      <c r="C10" s="19" t="s">
        <v>44</v>
      </c>
      <c r="D10" s="26">
        <v>45946</v>
      </c>
      <c r="E10" s="26">
        <v>45946</v>
      </c>
      <c r="F10" s="55">
        <f t="shared" si="0"/>
        <v>10</v>
      </c>
      <c r="G10" s="20" t="s">
        <v>69</v>
      </c>
      <c r="H10" s="19" t="s">
        <v>37</v>
      </c>
      <c r="I10" s="23"/>
      <c r="J10" s="23"/>
    </row>
    <row r="11" spans="1:10" ht="42" customHeight="1" x14ac:dyDescent="0.3">
      <c r="A11" s="42">
        <v>9</v>
      </c>
      <c r="B11" s="18" t="s">
        <v>37</v>
      </c>
      <c r="C11" s="19" t="s">
        <v>23</v>
      </c>
      <c r="D11" s="26">
        <v>45946</v>
      </c>
      <c r="E11" s="26">
        <v>45991</v>
      </c>
      <c r="F11" s="55">
        <f t="shared" si="0"/>
        <v>11</v>
      </c>
      <c r="G11" s="20" t="s">
        <v>67</v>
      </c>
      <c r="H11" s="19" t="s">
        <v>38</v>
      </c>
      <c r="I11" s="23"/>
      <c r="J11" s="23"/>
    </row>
    <row r="12" spans="1:10" ht="43.8" customHeight="1" x14ac:dyDescent="0.3">
      <c r="A12" s="42">
        <v>10</v>
      </c>
      <c r="B12" s="18" t="s">
        <v>37</v>
      </c>
      <c r="C12" s="19" t="s">
        <v>50</v>
      </c>
      <c r="D12" s="26">
        <v>45946</v>
      </c>
      <c r="E12" s="26">
        <v>45946</v>
      </c>
      <c r="F12" s="55">
        <f t="shared" si="0"/>
        <v>10</v>
      </c>
      <c r="G12" s="20" t="s">
        <v>68</v>
      </c>
      <c r="H12" s="19" t="s">
        <v>37</v>
      </c>
      <c r="I12" s="23"/>
      <c r="J12" s="23"/>
    </row>
    <row r="13" spans="1:10" ht="43.8" customHeight="1" x14ac:dyDescent="0.3">
      <c r="A13" s="42">
        <v>11</v>
      </c>
      <c r="B13" s="18" t="s">
        <v>85</v>
      </c>
      <c r="C13" s="19" t="s">
        <v>51</v>
      </c>
      <c r="D13" s="26">
        <v>45946</v>
      </c>
      <c r="E13" s="26">
        <v>45946</v>
      </c>
      <c r="F13" s="55">
        <f t="shared" si="0"/>
        <v>10</v>
      </c>
      <c r="G13" s="20" t="s">
        <v>67</v>
      </c>
      <c r="H13" s="20" t="s">
        <v>17</v>
      </c>
      <c r="I13" s="23"/>
      <c r="J13" s="23"/>
    </row>
    <row r="14" spans="1:10" ht="31.8" customHeight="1" x14ac:dyDescent="0.3">
      <c r="A14" s="42">
        <v>12</v>
      </c>
      <c r="B14" s="18" t="s">
        <v>85</v>
      </c>
      <c r="C14" s="19" t="s">
        <v>40</v>
      </c>
      <c r="D14" s="26">
        <v>45950</v>
      </c>
      <c r="E14" s="26">
        <v>45950</v>
      </c>
      <c r="F14" s="55">
        <f t="shared" si="0"/>
        <v>10</v>
      </c>
      <c r="G14" s="20" t="s">
        <v>55</v>
      </c>
      <c r="H14" s="19" t="s">
        <v>27</v>
      </c>
      <c r="I14" s="23"/>
      <c r="J14" s="23"/>
    </row>
    <row r="15" spans="1:10" ht="27.6" customHeight="1" x14ac:dyDescent="0.3">
      <c r="A15" s="42">
        <v>13</v>
      </c>
      <c r="B15" s="18" t="s">
        <v>32</v>
      </c>
      <c r="C15" s="19" t="s">
        <v>24</v>
      </c>
      <c r="D15" s="26">
        <v>45951</v>
      </c>
      <c r="E15" s="26">
        <v>45954</v>
      </c>
      <c r="F15" s="55">
        <f t="shared" si="0"/>
        <v>10</v>
      </c>
      <c r="G15" s="20" t="s">
        <v>68</v>
      </c>
      <c r="H15" s="19" t="s">
        <v>29</v>
      </c>
      <c r="I15" s="23" t="s">
        <v>30</v>
      </c>
      <c r="J15" s="23" t="s">
        <v>31</v>
      </c>
    </row>
    <row r="16" spans="1:10" ht="27.6" customHeight="1" x14ac:dyDescent="0.3">
      <c r="A16" s="42">
        <v>14</v>
      </c>
      <c r="B16" s="18" t="s">
        <v>85</v>
      </c>
      <c r="C16" s="19" t="s">
        <v>20</v>
      </c>
      <c r="D16" s="26">
        <v>45957</v>
      </c>
      <c r="E16" s="26">
        <v>45957</v>
      </c>
      <c r="F16" s="55">
        <f t="shared" si="0"/>
        <v>10</v>
      </c>
      <c r="G16" s="20" t="s">
        <v>69</v>
      </c>
      <c r="H16" s="19" t="s">
        <v>27</v>
      </c>
      <c r="I16" s="23"/>
      <c r="J16" s="23"/>
    </row>
    <row r="17" spans="1:10" ht="27.6" customHeight="1" x14ac:dyDescent="0.3">
      <c r="A17" s="42">
        <v>15</v>
      </c>
      <c r="B17" s="18" t="s">
        <v>16</v>
      </c>
      <c r="C17" s="19" t="s">
        <v>47</v>
      </c>
      <c r="D17" s="26">
        <v>45957</v>
      </c>
      <c r="E17" s="26">
        <v>45957</v>
      </c>
      <c r="F17" s="55">
        <f t="shared" si="0"/>
        <v>10</v>
      </c>
      <c r="G17" s="20" t="s">
        <v>67</v>
      </c>
      <c r="H17" s="19" t="s">
        <v>36</v>
      </c>
      <c r="I17" s="23"/>
      <c r="J17" s="23"/>
    </row>
    <row r="18" spans="1:10" ht="30.6" customHeight="1" x14ac:dyDescent="0.3">
      <c r="A18" s="42">
        <v>16</v>
      </c>
      <c r="B18" s="18" t="s">
        <v>16</v>
      </c>
      <c r="C18" s="19" t="s">
        <v>48</v>
      </c>
      <c r="D18" s="26">
        <v>45957</v>
      </c>
      <c r="E18" s="26">
        <v>45957</v>
      </c>
      <c r="F18" s="55">
        <f t="shared" si="0"/>
        <v>10</v>
      </c>
      <c r="G18" s="20" t="s">
        <v>69</v>
      </c>
      <c r="H18" s="19" t="s">
        <v>36</v>
      </c>
      <c r="I18" s="23"/>
      <c r="J18" s="23"/>
    </row>
    <row r="19" spans="1:10" ht="34.200000000000003" customHeight="1" x14ac:dyDescent="0.3">
      <c r="A19" s="42">
        <v>17</v>
      </c>
      <c r="B19" s="18" t="s">
        <v>16</v>
      </c>
      <c r="C19" s="19" t="s">
        <v>49</v>
      </c>
      <c r="D19" s="26">
        <v>45957</v>
      </c>
      <c r="E19" s="26">
        <v>45957</v>
      </c>
      <c r="F19" s="55">
        <f t="shared" si="0"/>
        <v>10</v>
      </c>
      <c r="G19" s="20" t="s">
        <v>67</v>
      </c>
      <c r="H19" s="19" t="s">
        <v>36</v>
      </c>
      <c r="I19" s="23"/>
      <c r="J19" s="23"/>
    </row>
    <row r="20" spans="1:10" ht="34.200000000000003" customHeight="1" x14ac:dyDescent="0.3">
      <c r="A20" s="42">
        <v>18</v>
      </c>
      <c r="B20" s="18" t="s">
        <v>86</v>
      </c>
      <c r="C20" s="19" t="s">
        <v>28</v>
      </c>
      <c r="D20" s="26">
        <v>45958</v>
      </c>
      <c r="E20" s="26">
        <v>45963</v>
      </c>
      <c r="F20" s="55">
        <f t="shared" si="0"/>
        <v>11</v>
      </c>
      <c r="G20" s="20" t="s">
        <v>68</v>
      </c>
      <c r="H20" s="19" t="s">
        <v>34</v>
      </c>
      <c r="I20" s="23"/>
      <c r="J20" s="23"/>
    </row>
    <row r="21" spans="1:10" ht="34.200000000000003" customHeight="1" x14ac:dyDescent="0.3">
      <c r="A21" s="42">
        <v>19</v>
      </c>
      <c r="B21" s="18" t="s">
        <v>16</v>
      </c>
      <c r="C21" s="19" t="s">
        <v>45</v>
      </c>
      <c r="D21" s="26">
        <v>45962</v>
      </c>
      <c r="E21" s="56">
        <v>46081</v>
      </c>
      <c r="F21" s="55">
        <f t="shared" si="0"/>
        <v>2</v>
      </c>
      <c r="G21" s="20" t="s">
        <v>55</v>
      </c>
      <c r="H21" s="28" t="s">
        <v>36</v>
      </c>
      <c r="I21" s="23"/>
      <c r="J21" s="23"/>
    </row>
    <row r="22" spans="1:10" ht="34.200000000000003" customHeight="1" x14ac:dyDescent="0.3">
      <c r="A22" s="42">
        <v>20</v>
      </c>
      <c r="B22" s="18" t="s">
        <v>86</v>
      </c>
      <c r="C22" s="19" t="s">
        <v>42</v>
      </c>
      <c r="D22" s="26">
        <v>45963</v>
      </c>
      <c r="E22" s="26">
        <v>45991</v>
      </c>
      <c r="F22" s="55">
        <f t="shared" si="0"/>
        <v>11</v>
      </c>
      <c r="G22" s="20" t="s">
        <v>55</v>
      </c>
      <c r="H22" s="19" t="s">
        <v>34</v>
      </c>
      <c r="I22" s="23" t="s">
        <v>41</v>
      </c>
      <c r="J22" s="23"/>
    </row>
    <row r="23" spans="1:10" ht="37.200000000000003" customHeight="1" x14ac:dyDescent="0.3">
      <c r="A23" s="42">
        <v>21</v>
      </c>
      <c r="B23" s="18" t="s">
        <v>37</v>
      </c>
      <c r="C23" s="19" t="s">
        <v>58</v>
      </c>
      <c r="D23" s="26">
        <v>45995</v>
      </c>
      <c r="E23" s="26">
        <v>45995</v>
      </c>
      <c r="F23" s="55">
        <f t="shared" si="0"/>
        <v>12</v>
      </c>
      <c r="G23" s="20" t="s">
        <v>55</v>
      </c>
      <c r="H23" s="19" t="s">
        <v>37</v>
      </c>
      <c r="I23" s="23"/>
      <c r="J23" s="23"/>
    </row>
    <row r="24" spans="1:10" ht="40.200000000000003" customHeight="1" x14ac:dyDescent="0.3">
      <c r="A24" s="42">
        <v>22</v>
      </c>
      <c r="B24" s="18" t="s">
        <v>87</v>
      </c>
      <c r="C24" s="19" t="s">
        <v>59</v>
      </c>
      <c r="D24" s="26">
        <v>45999</v>
      </c>
      <c r="E24" s="26">
        <v>46030</v>
      </c>
      <c r="F24" s="55">
        <f t="shared" si="0"/>
        <v>1</v>
      </c>
      <c r="G24" s="20" t="s">
        <v>55</v>
      </c>
      <c r="H24" s="19" t="s">
        <v>34</v>
      </c>
      <c r="I24" s="23"/>
      <c r="J24" s="23"/>
    </row>
    <row r="25" spans="1:10" ht="34.200000000000003" customHeight="1" x14ac:dyDescent="0.3">
      <c r="A25" s="42">
        <v>23</v>
      </c>
      <c r="B25" s="18" t="s">
        <v>85</v>
      </c>
      <c r="C25" s="19" t="s">
        <v>61</v>
      </c>
      <c r="D25" s="26">
        <v>46037</v>
      </c>
      <c r="E25" s="26">
        <v>46053</v>
      </c>
      <c r="F25" s="55">
        <f t="shared" si="0"/>
        <v>1</v>
      </c>
      <c r="G25" s="20" t="s">
        <v>67</v>
      </c>
      <c r="H25" s="19" t="s">
        <v>62</v>
      </c>
      <c r="I25" s="23"/>
      <c r="J25" s="23"/>
    </row>
    <row r="26" spans="1:10" ht="34.200000000000003" customHeight="1" x14ac:dyDescent="0.3">
      <c r="A26" s="89">
        <v>24</v>
      </c>
      <c r="B26" s="90" t="s">
        <v>85</v>
      </c>
      <c r="C26" s="91" t="s">
        <v>60</v>
      </c>
      <c r="D26" s="92">
        <v>46058</v>
      </c>
      <c r="E26" s="92">
        <v>46058</v>
      </c>
      <c r="F26" s="93">
        <f t="shared" si="0"/>
        <v>2</v>
      </c>
      <c r="G26" s="94" t="s">
        <v>67</v>
      </c>
      <c r="H26" s="91" t="s">
        <v>62</v>
      </c>
      <c r="I26" s="95"/>
      <c r="J26" s="95" t="s">
        <v>64</v>
      </c>
    </row>
  </sheetData>
  <pageMargins left="0.7" right="0.7" top="0.75" bottom="0.75" header="0.3" footer="0.3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F1FF9187-B4FE-434B-ABA7-F5E3A86FA339}">
          <x14:formula1>
            <xm:f>Feuil1!$B$3:$B$6</xm:f>
          </x14:formula1>
          <xm:sqref>G3:G26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917430-FD74-4A12-9278-CDD8ED4EC9E8}">
  <dimension ref="B1:AC36"/>
  <sheetViews>
    <sheetView showGridLines="0" zoomScale="91" zoomScaleNormal="120" workbookViewId="0">
      <pane xSplit="6" ySplit="12" topLeftCell="Y13" activePane="bottomRight" state="frozen"/>
      <selection pane="topRight" activeCell="G1" sqref="G1"/>
      <selection pane="bottomLeft" activeCell="A13" sqref="A13"/>
      <selection pane="bottomRight" activeCell="C1" sqref="C1"/>
    </sheetView>
  </sheetViews>
  <sheetFormatPr baseColWidth="10" defaultRowHeight="14.4" x14ac:dyDescent="0.3"/>
  <cols>
    <col min="1" max="1" width="3.109375" customWidth="1"/>
    <col min="2" max="2" width="7.44140625" style="32" customWidth="1"/>
    <col min="3" max="3" width="53.33203125" customWidth="1"/>
    <col min="4" max="5" width="12.33203125" style="33" customWidth="1"/>
    <col min="6" max="6" width="9.44140625" style="33" hidden="1" customWidth="1"/>
    <col min="7" max="10" width="11.5546875" style="33"/>
    <col min="11" max="11" width="9.77734375" style="33" customWidth="1"/>
    <col min="12" max="29" width="11.5546875" style="33"/>
  </cols>
  <sheetData>
    <row r="1" spans="2:29" ht="18" customHeight="1" x14ac:dyDescent="0.3">
      <c r="B1"/>
    </row>
    <row r="2" spans="2:29" ht="16.2" customHeight="1" x14ac:dyDescent="0.3">
      <c r="B2"/>
    </row>
    <row r="3" spans="2:29" ht="7.8" customHeight="1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</row>
    <row r="4" spans="2:29" ht="18" customHeight="1" x14ac:dyDescent="0.3">
      <c r="B4" s="33"/>
      <c r="C4" s="33"/>
      <c r="E4" s="1"/>
      <c r="F4" s="1"/>
      <c r="G4" s="1"/>
      <c r="H4" s="1"/>
      <c r="I4" s="1"/>
      <c r="J4" s="1"/>
      <c r="K4" s="1"/>
      <c r="L4" s="1"/>
      <c r="M4" s="3"/>
      <c r="N4" s="3"/>
      <c r="O4" s="3"/>
      <c r="P4" s="3"/>
      <c r="Q4" s="3"/>
      <c r="R4" s="3"/>
      <c r="S4" s="3"/>
      <c r="U4" s="3"/>
      <c r="V4" s="3"/>
      <c r="W4" s="3"/>
      <c r="X4" s="3"/>
      <c r="Z4" s="3"/>
      <c r="AA4" s="3"/>
      <c r="AB4" s="3"/>
    </row>
    <row r="5" spans="2:29" s="31" customFormat="1" ht="14.4" customHeight="1" x14ac:dyDescent="0.3">
      <c r="B5" s="34"/>
      <c r="C5" s="34"/>
      <c r="D5" s="34"/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</row>
    <row r="6" spans="2:29" s="31" customFormat="1" ht="14.4" customHeight="1" x14ac:dyDescent="0.3">
      <c r="B6" s="34"/>
      <c r="C6" s="34"/>
      <c r="D6" s="34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0"/>
      <c r="AC6" s="30"/>
    </row>
    <row r="7" spans="2:29" s="31" customFormat="1" ht="14.4" customHeight="1" x14ac:dyDescent="0.3">
      <c r="B7" s="34"/>
      <c r="C7" s="34"/>
      <c r="D7" s="34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</row>
    <row r="8" spans="2:29" s="31" customFormat="1" ht="14.4" customHeight="1" x14ac:dyDescent="0.3">
      <c r="B8" s="34"/>
      <c r="C8" s="34"/>
      <c r="D8" s="34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30"/>
      <c r="AA8" s="30"/>
      <c r="AB8" s="30"/>
      <c r="AC8" s="30"/>
    </row>
    <row r="9" spans="2:29" ht="29.4" customHeight="1" x14ac:dyDescent="0.3"/>
    <row r="10" spans="2:29" ht="18" x14ac:dyDescent="0.3">
      <c r="B10" s="35"/>
      <c r="C10" s="2"/>
      <c r="D10" s="35"/>
      <c r="E10" s="35"/>
      <c r="F10" s="35"/>
      <c r="G10" s="121" t="s">
        <v>1</v>
      </c>
      <c r="H10" s="122"/>
      <c r="I10" s="122"/>
      <c r="J10" s="123"/>
      <c r="K10" s="124"/>
      <c r="L10" s="121" t="s">
        <v>2</v>
      </c>
      <c r="M10" s="122"/>
      <c r="N10" s="122"/>
      <c r="O10" s="123"/>
      <c r="P10" s="125" t="s">
        <v>3</v>
      </c>
      <c r="Q10" s="122"/>
      <c r="R10" s="122"/>
      <c r="S10" s="123"/>
      <c r="T10" s="124"/>
      <c r="U10" s="126" t="s">
        <v>66</v>
      </c>
      <c r="V10" s="122"/>
      <c r="W10" s="122"/>
      <c r="X10" s="123"/>
      <c r="Y10" s="124"/>
      <c r="Z10" s="125" t="s">
        <v>65</v>
      </c>
      <c r="AA10" s="122"/>
      <c r="AB10" s="122"/>
      <c r="AC10" s="124"/>
    </row>
    <row r="11" spans="2:29" ht="15" thickBot="1" x14ac:dyDescent="0.35">
      <c r="B11" s="35"/>
      <c r="C11" s="2"/>
      <c r="D11" s="57"/>
      <c r="E11" s="35"/>
      <c r="F11" s="35"/>
      <c r="G11" s="57">
        <v>45929</v>
      </c>
      <c r="H11" s="57">
        <f>G11+7</f>
        <v>45936</v>
      </c>
      <c r="I11" s="57">
        <f t="shared" ref="I11:AC11" si="0">H11+7</f>
        <v>45943</v>
      </c>
      <c r="J11" s="57">
        <f t="shared" si="0"/>
        <v>45950</v>
      </c>
      <c r="K11" s="80">
        <f t="shared" si="0"/>
        <v>45957</v>
      </c>
      <c r="L11" s="57">
        <f t="shared" si="0"/>
        <v>45964</v>
      </c>
      <c r="M11" s="57">
        <f t="shared" si="0"/>
        <v>45971</v>
      </c>
      <c r="N11" s="57">
        <f t="shared" si="0"/>
        <v>45978</v>
      </c>
      <c r="O11" s="57">
        <f t="shared" si="0"/>
        <v>45985</v>
      </c>
      <c r="P11" s="57">
        <f t="shared" si="0"/>
        <v>45992</v>
      </c>
      <c r="Q11" s="57">
        <f t="shared" si="0"/>
        <v>45999</v>
      </c>
      <c r="R11" s="57">
        <f t="shared" si="0"/>
        <v>46006</v>
      </c>
      <c r="S11" s="57">
        <f t="shared" si="0"/>
        <v>46013</v>
      </c>
      <c r="T11" s="57">
        <f t="shared" si="0"/>
        <v>46020</v>
      </c>
      <c r="U11" s="57">
        <v>46020</v>
      </c>
      <c r="V11" s="57">
        <f t="shared" si="0"/>
        <v>46027</v>
      </c>
      <c r="W11" s="57">
        <f t="shared" si="0"/>
        <v>46034</v>
      </c>
      <c r="X11" s="57">
        <f t="shared" si="0"/>
        <v>46041</v>
      </c>
      <c r="Y11" s="57">
        <f t="shared" si="0"/>
        <v>46048</v>
      </c>
      <c r="Z11" s="57">
        <v>46048</v>
      </c>
      <c r="AA11" s="57">
        <f t="shared" si="0"/>
        <v>46055</v>
      </c>
      <c r="AB11" s="57">
        <f t="shared" si="0"/>
        <v>46062</v>
      </c>
      <c r="AC11" s="57">
        <f t="shared" si="0"/>
        <v>46069</v>
      </c>
    </row>
    <row r="12" spans="2:29" ht="16.2" thickBot="1" x14ac:dyDescent="0.35">
      <c r="B12" s="29" t="s">
        <v>57</v>
      </c>
      <c r="C12" s="29" t="s">
        <v>4</v>
      </c>
      <c r="D12" s="72" t="s">
        <v>11</v>
      </c>
      <c r="E12" s="73" t="s">
        <v>12</v>
      </c>
      <c r="F12" s="81" t="s">
        <v>13</v>
      </c>
      <c r="G12" s="74" t="s">
        <v>5</v>
      </c>
      <c r="H12" s="75" t="s">
        <v>6</v>
      </c>
      <c r="I12" s="75" t="s">
        <v>7</v>
      </c>
      <c r="J12" s="76" t="s">
        <v>8</v>
      </c>
      <c r="K12" s="77" t="s">
        <v>54</v>
      </c>
      <c r="L12" s="74" t="s">
        <v>5</v>
      </c>
      <c r="M12" s="75" t="s">
        <v>6</v>
      </c>
      <c r="N12" s="75" t="s">
        <v>7</v>
      </c>
      <c r="O12" s="77" t="s">
        <v>8</v>
      </c>
      <c r="P12" s="78" t="s">
        <v>5</v>
      </c>
      <c r="Q12" s="79" t="s">
        <v>6</v>
      </c>
      <c r="R12" s="75" t="s">
        <v>7</v>
      </c>
      <c r="S12" s="76" t="s">
        <v>8</v>
      </c>
      <c r="T12" s="77" t="s">
        <v>54</v>
      </c>
      <c r="U12" s="78" t="s">
        <v>5</v>
      </c>
      <c r="V12" s="79" t="s">
        <v>6</v>
      </c>
      <c r="W12" s="75" t="s">
        <v>7</v>
      </c>
      <c r="X12" s="76" t="s">
        <v>8</v>
      </c>
      <c r="Y12" s="77" t="s">
        <v>54</v>
      </c>
      <c r="Z12" s="78" t="s">
        <v>5</v>
      </c>
      <c r="AA12" s="79" t="s">
        <v>6</v>
      </c>
      <c r="AB12" s="75" t="s">
        <v>7</v>
      </c>
      <c r="AC12" s="77" t="s">
        <v>8</v>
      </c>
    </row>
    <row r="13" spans="2:29" ht="31.8" thickBot="1" x14ac:dyDescent="0.35">
      <c r="B13" s="36">
        <f>'Micro-planning'!A3</f>
        <v>1</v>
      </c>
      <c r="C13" s="4" t="str">
        <f>'Micro-planning'!C3</f>
        <v>Lister les hopitaux pour la phase pilote où les 2 systèmes (DPI et SIH) sont installés</v>
      </c>
      <c r="D13" s="58">
        <f>'Micro-planning'!D3</f>
        <v>45943</v>
      </c>
      <c r="E13" s="59">
        <f>'Micro-planning'!E3</f>
        <v>45950</v>
      </c>
      <c r="F13" s="82" t="str">
        <f>'Micro-planning'!G3</f>
        <v>Réalisée</v>
      </c>
      <c r="G13" s="104" t="str">
        <f t="shared" ref="G13:V28" si="1">IF(AND($D13&gt;G$11,$D13&gt;=H$11),"",IF($E13&gt;=G$11,"X",""))</f>
        <v/>
      </c>
      <c r="H13" s="105" t="str">
        <f>IF(AND($D13&gt;H$11,$D13&gt;=I$11),"",IF($E13&gt;=H$11,"X",""))</f>
        <v/>
      </c>
      <c r="I13" s="105" t="str">
        <f t="shared" ref="I13:AC28" si="2">IF(AND($D13&gt;I$11,$D13&gt;=J$11),"",IF($E13&gt;=I$11,"X",""))</f>
        <v>X</v>
      </c>
      <c r="J13" s="106" t="str">
        <f t="shared" si="2"/>
        <v>X</v>
      </c>
      <c r="K13" s="107" t="str">
        <f t="shared" si="2"/>
        <v/>
      </c>
      <c r="L13" s="108" t="str">
        <f t="shared" si="2"/>
        <v/>
      </c>
      <c r="M13" s="105" t="str">
        <f t="shared" si="2"/>
        <v/>
      </c>
      <c r="N13" s="105" t="str">
        <f t="shared" si="2"/>
        <v/>
      </c>
      <c r="O13" s="107" t="str">
        <f t="shared" si="2"/>
        <v/>
      </c>
      <c r="P13" s="108" t="str">
        <f t="shared" si="2"/>
        <v/>
      </c>
      <c r="Q13" s="105" t="str">
        <f t="shared" si="2"/>
        <v/>
      </c>
      <c r="R13" s="105" t="str">
        <f t="shared" si="2"/>
        <v/>
      </c>
      <c r="S13" s="106" t="str">
        <f t="shared" si="2"/>
        <v/>
      </c>
      <c r="T13" s="107" t="str">
        <f t="shared" si="2"/>
        <v/>
      </c>
      <c r="U13" s="108" t="str">
        <f t="shared" si="2"/>
        <v/>
      </c>
      <c r="V13" s="105" t="str">
        <f t="shared" si="2"/>
        <v/>
      </c>
      <c r="W13" s="105" t="str">
        <f t="shared" si="2"/>
        <v/>
      </c>
      <c r="X13" s="106" t="str">
        <f t="shared" si="2"/>
        <v/>
      </c>
      <c r="Y13" s="107" t="str">
        <f t="shared" si="2"/>
        <v/>
      </c>
      <c r="Z13" s="108" t="str">
        <f t="shared" si="2"/>
        <v/>
      </c>
      <c r="AA13" s="105" t="str">
        <f t="shared" si="2"/>
        <v/>
      </c>
      <c r="AB13" s="105" t="str">
        <f t="shared" si="2"/>
        <v/>
      </c>
      <c r="AC13" s="107" t="str">
        <f t="shared" si="2"/>
        <v/>
      </c>
    </row>
    <row r="14" spans="2:29" s="48" customFormat="1" ht="31.8" thickBot="1" x14ac:dyDescent="0.35">
      <c r="B14" s="49">
        <f>'Micro-planning'!A4</f>
        <v>2</v>
      </c>
      <c r="C14" s="50" t="str">
        <f>'Micro-planning'!C4</f>
        <v>Finaliser l'inventaire des APIs pour le DPI, le SIH et la CICMU</v>
      </c>
      <c r="D14" s="60">
        <f>'Micro-planning'!D4</f>
        <v>45943</v>
      </c>
      <c r="E14" s="61">
        <f>'Micro-planning'!E4</f>
        <v>45945</v>
      </c>
      <c r="F14" s="83" t="str">
        <f>'Micro-planning'!G4</f>
        <v>Réalisée</v>
      </c>
      <c r="G14" s="109" t="str">
        <f t="shared" si="1"/>
        <v/>
      </c>
      <c r="H14" s="86" t="str">
        <f t="shared" si="1"/>
        <v/>
      </c>
      <c r="I14" s="86" t="str">
        <f t="shared" si="1"/>
        <v>X</v>
      </c>
      <c r="J14" s="87" t="str">
        <f t="shared" si="1"/>
        <v/>
      </c>
      <c r="K14" s="88" t="str">
        <f t="shared" si="1"/>
        <v/>
      </c>
      <c r="L14" s="85" t="str">
        <f t="shared" si="1"/>
        <v/>
      </c>
      <c r="M14" s="86" t="str">
        <f t="shared" si="1"/>
        <v/>
      </c>
      <c r="N14" s="86" t="str">
        <f t="shared" si="1"/>
        <v/>
      </c>
      <c r="O14" s="88" t="str">
        <f t="shared" si="1"/>
        <v/>
      </c>
      <c r="P14" s="85" t="str">
        <f t="shared" si="1"/>
        <v/>
      </c>
      <c r="Q14" s="86" t="str">
        <f t="shared" si="1"/>
        <v/>
      </c>
      <c r="R14" s="86" t="str">
        <f t="shared" si="1"/>
        <v/>
      </c>
      <c r="S14" s="87" t="str">
        <f t="shared" si="1"/>
        <v/>
      </c>
      <c r="T14" s="88" t="str">
        <f t="shared" si="1"/>
        <v/>
      </c>
      <c r="U14" s="85" t="str">
        <f t="shared" si="1"/>
        <v/>
      </c>
      <c r="V14" s="86" t="str">
        <f t="shared" si="1"/>
        <v/>
      </c>
      <c r="W14" s="86" t="str">
        <f t="shared" si="2"/>
        <v/>
      </c>
      <c r="X14" s="87" t="str">
        <f t="shared" si="2"/>
        <v/>
      </c>
      <c r="Y14" s="88" t="str">
        <f t="shared" si="2"/>
        <v/>
      </c>
      <c r="Z14" s="85" t="str">
        <f t="shared" si="2"/>
        <v/>
      </c>
      <c r="AA14" s="86" t="str">
        <f t="shared" si="2"/>
        <v/>
      </c>
      <c r="AB14" s="86" t="str">
        <f t="shared" si="2"/>
        <v/>
      </c>
      <c r="AC14" s="88" t="str">
        <f t="shared" si="2"/>
        <v/>
      </c>
    </row>
    <row r="15" spans="2:29" ht="40.200000000000003" customHeight="1" thickBot="1" x14ac:dyDescent="0.35">
      <c r="B15" s="37">
        <f>'Micro-planning'!A5</f>
        <v>3</v>
      </c>
      <c r="C15" s="5" t="str">
        <f>'Micro-planning'!C5</f>
        <v>Elaborer la documentation de chaque API</v>
      </c>
      <c r="D15" s="62">
        <f>'Micro-planning'!D5</f>
        <v>45943</v>
      </c>
      <c r="E15" s="63">
        <f>'Micro-planning'!E5</f>
        <v>45960</v>
      </c>
      <c r="F15" s="84" t="str">
        <f>'Micro-planning'!G5</f>
        <v>Non demarrée</v>
      </c>
      <c r="G15" s="109" t="str">
        <f t="shared" si="1"/>
        <v/>
      </c>
      <c r="H15" s="86" t="str">
        <f t="shared" si="1"/>
        <v/>
      </c>
      <c r="I15" s="86" t="str">
        <f t="shared" si="1"/>
        <v>X</v>
      </c>
      <c r="J15" s="86" t="str">
        <f t="shared" si="1"/>
        <v>X</v>
      </c>
      <c r="K15" s="86" t="str">
        <f t="shared" si="1"/>
        <v>X</v>
      </c>
      <c r="L15" s="85" t="str">
        <f t="shared" si="1"/>
        <v/>
      </c>
      <c r="M15" s="86" t="str">
        <f t="shared" si="1"/>
        <v/>
      </c>
      <c r="N15" s="86" t="str">
        <f t="shared" si="1"/>
        <v/>
      </c>
      <c r="O15" s="88" t="str">
        <f t="shared" si="1"/>
        <v/>
      </c>
      <c r="P15" s="85" t="str">
        <f t="shared" si="1"/>
        <v/>
      </c>
      <c r="Q15" s="86" t="str">
        <f t="shared" si="1"/>
        <v/>
      </c>
      <c r="R15" s="86" t="str">
        <f t="shared" si="1"/>
        <v/>
      </c>
      <c r="S15" s="87" t="str">
        <f t="shared" si="1"/>
        <v/>
      </c>
      <c r="T15" s="88" t="str">
        <f t="shared" si="1"/>
        <v/>
      </c>
      <c r="U15" s="85" t="str">
        <f t="shared" si="1"/>
        <v/>
      </c>
      <c r="V15" s="86" t="str">
        <f t="shared" si="1"/>
        <v/>
      </c>
      <c r="W15" s="86" t="str">
        <f t="shared" si="2"/>
        <v/>
      </c>
      <c r="X15" s="87" t="str">
        <f t="shared" si="2"/>
        <v/>
      </c>
      <c r="Y15" s="88" t="str">
        <f t="shared" si="2"/>
        <v/>
      </c>
      <c r="Z15" s="86" t="str">
        <f t="shared" si="2"/>
        <v/>
      </c>
      <c r="AA15" s="86" t="str">
        <f t="shared" si="2"/>
        <v/>
      </c>
      <c r="AB15" s="87" t="str">
        <f t="shared" si="2"/>
        <v/>
      </c>
      <c r="AC15" s="88" t="str">
        <f t="shared" si="2"/>
        <v/>
      </c>
    </row>
    <row r="16" spans="2:29" ht="31.8" thickBot="1" x14ac:dyDescent="0.35">
      <c r="B16" s="38">
        <f>'Micro-planning'!A6</f>
        <v>4</v>
      </c>
      <c r="C16" s="6" t="str">
        <f>'Micro-planning'!C6</f>
        <v>Elaborer le TDR de la mission pour la mise à niveau les infrastructures dans les sites de la phase pilote</v>
      </c>
      <c r="D16" s="64">
        <f>'Micro-planning'!D6</f>
        <v>45943</v>
      </c>
      <c r="E16" s="65">
        <f>'Micro-planning'!E6</f>
        <v>45945</v>
      </c>
      <c r="F16" s="83" t="str">
        <f>'Micro-planning'!G6</f>
        <v>En cours</v>
      </c>
      <c r="G16" s="110" t="str">
        <f t="shared" si="1"/>
        <v/>
      </c>
      <c r="H16" s="97" t="str">
        <f t="shared" si="1"/>
        <v/>
      </c>
      <c r="I16" s="97" t="str">
        <f t="shared" si="1"/>
        <v>X</v>
      </c>
      <c r="J16" s="98" t="str">
        <f t="shared" si="1"/>
        <v/>
      </c>
      <c r="K16" s="99" t="str">
        <f t="shared" si="1"/>
        <v/>
      </c>
      <c r="L16" s="96" t="str">
        <f t="shared" si="1"/>
        <v/>
      </c>
      <c r="M16" s="97" t="str">
        <f t="shared" si="1"/>
        <v/>
      </c>
      <c r="N16" s="97" t="str">
        <f t="shared" si="1"/>
        <v/>
      </c>
      <c r="O16" s="99" t="str">
        <f t="shared" si="1"/>
        <v/>
      </c>
      <c r="P16" s="96" t="str">
        <f t="shared" si="1"/>
        <v/>
      </c>
      <c r="Q16" s="97" t="str">
        <f t="shared" si="1"/>
        <v/>
      </c>
      <c r="R16" s="97" t="str">
        <f t="shared" si="1"/>
        <v/>
      </c>
      <c r="S16" s="98" t="str">
        <f t="shared" si="1"/>
        <v/>
      </c>
      <c r="T16" s="99" t="str">
        <f t="shared" si="1"/>
        <v/>
      </c>
      <c r="U16" s="85" t="str">
        <f t="shared" si="1"/>
        <v/>
      </c>
      <c r="V16" s="86" t="str">
        <f t="shared" si="1"/>
        <v/>
      </c>
      <c r="W16" s="86" t="str">
        <f t="shared" si="2"/>
        <v/>
      </c>
      <c r="X16" s="87" t="str">
        <f t="shared" si="2"/>
        <v/>
      </c>
      <c r="Y16" s="88" t="str">
        <f t="shared" si="2"/>
        <v/>
      </c>
      <c r="Z16" s="96" t="str">
        <f t="shared" si="2"/>
        <v/>
      </c>
      <c r="AA16" s="97" t="str">
        <f t="shared" si="2"/>
        <v/>
      </c>
      <c r="AB16" s="97" t="str">
        <f t="shared" si="2"/>
        <v/>
      </c>
      <c r="AC16" s="99" t="str">
        <f t="shared" si="2"/>
        <v/>
      </c>
    </row>
    <row r="17" spans="2:29" ht="41.4" customHeight="1" thickBot="1" x14ac:dyDescent="0.35">
      <c r="B17" s="39">
        <f>'Micro-planning'!A7</f>
        <v>5</v>
      </c>
      <c r="C17" s="8" t="str">
        <f>'Micro-planning'!C7</f>
        <v>Rédiger un courrier pour informer les autorités sanitaires de leur participation à la phase pilote</v>
      </c>
      <c r="D17" s="62">
        <f>'Micro-planning'!D7</f>
        <v>45945</v>
      </c>
      <c r="E17" s="63">
        <f>'Micro-planning'!E7</f>
        <v>45950</v>
      </c>
      <c r="F17" s="84" t="str">
        <f>'Micro-planning'!G7</f>
        <v>Réalisée</v>
      </c>
      <c r="G17" s="109" t="str">
        <f t="shared" si="1"/>
        <v/>
      </c>
      <c r="H17" s="86" t="str">
        <f t="shared" si="1"/>
        <v/>
      </c>
      <c r="I17" s="86" t="str">
        <f t="shared" si="1"/>
        <v>X</v>
      </c>
      <c r="J17" s="87" t="str">
        <f t="shared" si="1"/>
        <v>X</v>
      </c>
      <c r="K17" s="88" t="str">
        <f t="shared" si="1"/>
        <v/>
      </c>
      <c r="L17" s="85" t="str">
        <f t="shared" si="1"/>
        <v/>
      </c>
      <c r="M17" s="86" t="str">
        <f t="shared" si="1"/>
        <v/>
      </c>
      <c r="N17" s="86" t="str">
        <f t="shared" si="1"/>
        <v/>
      </c>
      <c r="O17" s="88" t="str">
        <f t="shared" si="1"/>
        <v/>
      </c>
      <c r="P17" s="85" t="str">
        <f t="shared" si="1"/>
        <v/>
      </c>
      <c r="Q17" s="86" t="str">
        <f t="shared" si="1"/>
        <v/>
      </c>
      <c r="R17" s="86" t="str">
        <f t="shared" si="1"/>
        <v/>
      </c>
      <c r="S17" s="87" t="str">
        <f t="shared" si="1"/>
        <v/>
      </c>
      <c r="T17" s="88" t="str">
        <f t="shared" si="1"/>
        <v/>
      </c>
      <c r="U17" s="85" t="str">
        <f t="shared" si="1"/>
        <v/>
      </c>
      <c r="V17" s="86" t="str">
        <f t="shared" si="1"/>
        <v/>
      </c>
      <c r="W17" s="86" t="str">
        <f t="shared" si="2"/>
        <v/>
      </c>
      <c r="X17" s="87" t="str">
        <f t="shared" si="2"/>
        <v/>
      </c>
      <c r="Y17" s="88" t="str">
        <f t="shared" si="2"/>
        <v/>
      </c>
      <c r="Z17" s="85" t="str">
        <f t="shared" si="2"/>
        <v/>
      </c>
      <c r="AA17" s="86" t="str">
        <f t="shared" si="2"/>
        <v/>
      </c>
      <c r="AB17" s="86" t="str">
        <f t="shared" si="2"/>
        <v/>
      </c>
      <c r="AC17" s="88" t="str">
        <f t="shared" si="2"/>
        <v/>
      </c>
    </row>
    <row r="18" spans="2:29" ht="31.8" thickBot="1" x14ac:dyDescent="0.35">
      <c r="B18" s="40">
        <f>'Micro-planning'!A8</f>
        <v>6</v>
      </c>
      <c r="C18" s="7" t="str">
        <f>'Micro-planning'!C8</f>
        <v>Developper et mettre à disposition les APIs selon le périmètre de chaque entité</v>
      </c>
      <c r="D18" s="66">
        <f>'Micro-planning'!D8</f>
        <v>45946</v>
      </c>
      <c r="E18" s="67">
        <f>'Micro-planning'!E8</f>
        <v>45956</v>
      </c>
      <c r="F18" s="83" t="str">
        <f>'Micro-planning'!G8</f>
        <v>Non réalisée</v>
      </c>
      <c r="G18" s="111" t="str">
        <f t="shared" si="1"/>
        <v/>
      </c>
      <c r="H18" s="101" t="str">
        <f t="shared" si="1"/>
        <v/>
      </c>
      <c r="I18" s="101" t="str">
        <f t="shared" si="1"/>
        <v>X</v>
      </c>
      <c r="J18" s="102" t="str">
        <f t="shared" si="1"/>
        <v>X</v>
      </c>
      <c r="K18" s="103" t="str">
        <f t="shared" si="1"/>
        <v/>
      </c>
      <c r="L18" s="100" t="str">
        <f t="shared" si="1"/>
        <v/>
      </c>
      <c r="M18" s="101" t="str">
        <f t="shared" si="1"/>
        <v/>
      </c>
      <c r="N18" s="101" t="str">
        <f t="shared" si="1"/>
        <v/>
      </c>
      <c r="O18" s="103" t="str">
        <f t="shared" si="1"/>
        <v/>
      </c>
      <c r="P18" s="100" t="str">
        <f t="shared" si="1"/>
        <v/>
      </c>
      <c r="Q18" s="101" t="str">
        <f t="shared" si="1"/>
        <v/>
      </c>
      <c r="R18" s="101" t="str">
        <f t="shared" si="1"/>
        <v/>
      </c>
      <c r="S18" s="102" t="str">
        <f t="shared" si="1"/>
        <v/>
      </c>
      <c r="T18" s="103" t="str">
        <f t="shared" si="1"/>
        <v/>
      </c>
      <c r="U18" s="100" t="str">
        <f t="shared" si="1"/>
        <v/>
      </c>
      <c r="V18" s="101" t="str">
        <f t="shared" si="1"/>
        <v/>
      </c>
      <c r="W18" s="101" t="str">
        <f t="shared" si="2"/>
        <v/>
      </c>
      <c r="X18" s="102" t="str">
        <f t="shared" si="2"/>
        <v/>
      </c>
      <c r="Y18" s="103" t="str">
        <f t="shared" si="2"/>
        <v/>
      </c>
      <c r="Z18" s="100" t="str">
        <f t="shared" si="2"/>
        <v/>
      </c>
      <c r="AA18" s="101" t="str">
        <f t="shared" si="2"/>
        <v/>
      </c>
      <c r="AB18" s="101" t="str">
        <f t="shared" si="2"/>
        <v/>
      </c>
      <c r="AC18" s="103" t="str">
        <f t="shared" si="2"/>
        <v/>
      </c>
    </row>
    <row r="19" spans="2:29" ht="41.4" customHeight="1" thickBot="1" x14ac:dyDescent="0.35">
      <c r="B19" s="39">
        <f>'Micro-planning'!A9</f>
        <v>7</v>
      </c>
      <c r="C19" s="8" t="str">
        <f>'Micro-planning'!C9</f>
        <v>Valider le standard et protocole d'échange de données : FHIR, REST API, JSON, SOAP</v>
      </c>
      <c r="D19" s="62">
        <f>'Micro-planning'!D9</f>
        <v>45946</v>
      </c>
      <c r="E19" s="63">
        <f>'Micro-planning'!E9</f>
        <v>45950</v>
      </c>
      <c r="F19" s="84" t="str">
        <f>'Micro-planning'!G9</f>
        <v>Non demarrée</v>
      </c>
      <c r="G19" s="109" t="str">
        <f t="shared" si="1"/>
        <v/>
      </c>
      <c r="H19" s="86" t="str">
        <f t="shared" si="1"/>
        <v/>
      </c>
      <c r="I19" s="86" t="str">
        <f t="shared" si="1"/>
        <v>X</v>
      </c>
      <c r="J19" s="87" t="str">
        <f t="shared" si="1"/>
        <v>X</v>
      </c>
      <c r="K19" s="88" t="str">
        <f t="shared" si="1"/>
        <v/>
      </c>
      <c r="L19" s="85" t="str">
        <f t="shared" si="1"/>
        <v/>
      </c>
      <c r="M19" s="86" t="str">
        <f t="shared" si="1"/>
        <v/>
      </c>
      <c r="N19" s="86" t="str">
        <f t="shared" si="1"/>
        <v/>
      </c>
      <c r="O19" s="88" t="str">
        <f t="shared" si="1"/>
        <v/>
      </c>
      <c r="P19" s="85" t="str">
        <f t="shared" si="1"/>
        <v/>
      </c>
      <c r="Q19" s="86" t="str">
        <f t="shared" si="1"/>
        <v/>
      </c>
      <c r="R19" s="86" t="str">
        <f t="shared" si="1"/>
        <v/>
      </c>
      <c r="S19" s="87" t="str">
        <f t="shared" si="1"/>
        <v/>
      </c>
      <c r="T19" s="88" t="str">
        <f t="shared" si="1"/>
        <v/>
      </c>
      <c r="U19" s="85" t="str">
        <f t="shared" si="1"/>
        <v/>
      </c>
      <c r="V19" s="86" t="str">
        <f t="shared" si="1"/>
        <v/>
      </c>
      <c r="W19" s="86" t="str">
        <f t="shared" si="2"/>
        <v/>
      </c>
      <c r="X19" s="87" t="str">
        <f t="shared" si="2"/>
        <v/>
      </c>
      <c r="Y19" s="88" t="str">
        <f t="shared" si="2"/>
        <v/>
      </c>
      <c r="Z19" s="85" t="str">
        <f t="shared" si="2"/>
        <v/>
      </c>
      <c r="AA19" s="86" t="str">
        <f t="shared" si="2"/>
        <v/>
      </c>
      <c r="AB19" s="86" t="str">
        <f t="shared" si="2"/>
        <v/>
      </c>
      <c r="AC19" s="88" t="str">
        <f t="shared" si="2"/>
        <v/>
      </c>
    </row>
    <row r="20" spans="2:29" ht="31.8" thickBot="1" x14ac:dyDescent="0.35">
      <c r="B20" s="40">
        <f>'Micro-planning'!A10</f>
        <v>8</v>
      </c>
      <c r="C20" s="7" t="str">
        <f>'Micro-planning'!C10</f>
        <v>Valider le TDR de la mission pour la mise à niveau des infrastructures dans les sites de la phase pilote</v>
      </c>
      <c r="D20" s="66">
        <f>'Micro-planning'!D10</f>
        <v>45946</v>
      </c>
      <c r="E20" s="67">
        <f>'Micro-planning'!E10</f>
        <v>45946</v>
      </c>
      <c r="F20" s="83" t="str">
        <f>'Micro-planning'!G10</f>
        <v>Non réalisée</v>
      </c>
      <c r="G20" s="111" t="str">
        <f t="shared" si="1"/>
        <v/>
      </c>
      <c r="H20" s="101" t="str">
        <f t="shared" si="1"/>
        <v/>
      </c>
      <c r="I20" s="101" t="str">
        <f t="shared" si="1"/>
        <v>X</v>
      </c>
      <c r="J20" s="102" t="str">
        <f t="shared" si="1"/>
        <v/>
      </c>
      <c r="K20" s="103" t="str">
        <f t="shared" si="1"/>
        <v/>
      </c>
      <c r="L20" s="100" t="str">
        <f t="shared" si="1"/>
        <v/>
      </c>
      <c r="M20" s="101" t="str">
        <f t="shared" si="1"/>
        <v/>
      </c>
      <c r="N20" s="101" t="str">
        <f t="shared" si="1"/>
        <v/>
      </c>
      <c r="O20" s="103" t="str">
        <f t="shared" si="1"/>
        <v/>
      </c>
      <c r="P20" s="100" t="str">
        <f t="shared" si="1"/>
        <v/>
      </c>
      <c r="Q20" s="101" t="str">
        <f t="shared" si="1"/>
        <v/>
      </c>
      <c r="R20" s="101" t="str">
        <f t="shared" si="1"/>
        <v/>
      </c>
      <c r="S20" s="102" t="str">
        <f t="shared" si="1"/>
        <v/>
      </c>
      <c r="T20" s="103" t="str">
        <f t="shared" si="1"/>
        <v/>
      </c>
      <c r="U20" s="100" t="str">
        <f t="shared" si="1"/>
        <v/>
      </c>
      <c r="V20" s="101" t="str">
        <f t="shared" si="1"/>
        <v/>
      </c>
      <c r="W20" s="101" t="str">
        <f t="shared" si="2"/>
        <v/>
      </c>
      <c r="X20" s="102" t="str">
        <f t="shared" si="2"/>
        <v/>
      </c>
      <c r="Y20" s="103" t="str">
        <f t="shared" si="2"/>
        <v/>
      </c>
      <c r="Z20" s="100" t="str">
        <f t="shared" si="2"/>
        <v/>
      </c>
      <c r="AA20" s="101" t="str">
        <f t="shared" si="2"/>
        <v/>
      </c>
      <c r="AB20" s="101" t="str">
        <f t="shared" si="2"/>
        <v/>
      </c>
      <c r="AC20" s="103" t="str">
        <f t="shared" si="2"/>
        <v/>
      </c>
    </row>
    <row r="21" spans="2:29" ht="43.2" customHeight="1" thickBot="1" x14ac:dyDescent="0.35">
      <c r="B21" s="39">
        <f>'Micro-planning'!A11</f>
        <v>9</v>
      </c>
      <c r="C21" s="8" t="str">
        <f>'Micro-planning'!C11</f>
        <v>Adapter le cadre de gouvernance aux directives nationales à travers la mise en place des politiques de gouvernance des données, du consentement des patients et de l'audit du système</v>
      </c>
      <c r="D21" s="62">
        <f>'Micro-planning'!D11</f>
        <v>45946</v>
      </c>
      <c r="E21" s="63">
        <f>'Micro-planning'!E11</f>
        <v>45991</v>
      </c>
      <c r="F21" s="84" t="str">
        <f>'Micro-planning'!G11</f>
        <v>Non demarrée</v>
      </c>
      <c r="G21" s="109" t="str">
        <f t="shared" si="1"/>
        <v/>
      </c>
      <c r="H21" s="86" t="str">
        <f t="shared" si="1"/>
        <v/>
      </c>
      <c r="I21" s="86" t="str">
        <f t="shared" si="1"/>
        <v>X</v>
      </c>
      <c r="J21" s="87" t="str">
        <f t="shared" si="1"/>
        <v>X</v>
      </c>
      <c r="K21" s="88" t="str">
        <f t="shared" si="1"/>
        <v>X</v>
      </c>
      <c r="L21" s="85" t="str">
        <f t="shared" si="1"/>
        <v>X</v>
      </c>
      <c r="M21" s="86" t="str">
        <f t="shared" si="1"/>
        <v>X</v>
      </c>
      <c r="N21" s="86" t="str">
        <f t="shared" si="1"/>
        <v>X</v>
      </c>
      <c r="O21" s="88" t="str">
        <f t="shared" si="1"/>
        <v>X</v>
      </c>
      <c r="P21" s="85" t="str">
        <f t="shared" si="1"/>
        <v/>
      </c>
      <c r="Q21" s="86" t="str">
        <f t="shared" si="1"/>
        <v/>
      </c>
      <c r="R21" s="86" t="str">
        <f t="shared" si="1"/>
        <v/>
      </c>
      <c r="S21" s="87" t="str">
        <f t="shared" si="1"/>
        <v/>
      </c>
      <c r="T21" s="88" t="str">
        <f t="shared" si="1"/>
        <v/>
      </c>
      <c r="U21" s="85" t="str">
        <f t="shared" si="1"/>
        <v/>
      </c>
      <c r="V21" s="86" t="str">
        <f t="shared" si="1"/>
        <v/>
      </c>
      <c r="W21" s="86" t="str">
        <f t="shared" si="2"/>
        <v/>
      </c>
      <c r="X21" s="87" t="str">
        <f t="shared" si="2"/>
        <v/>
      </c>
      <c r="Y21" s="88" t="str">
        <f t="shared" si="2"/>
        <v/>
      </c>
      <c r="Z21" s="85" t="str">
        <f t="shared" si="2"/>
        <v/>
      </c>
      <c r="AA21" s="86" t="str">
        <f t="shared" si="2"/>
        <v/>
      </c>
      <c r="AB21" s="86" t="str">
        <f t="shared" si="2"/>
        <v/>
      </c>
      <c r="AC21" s="88" t="str">
        <f t="shared" si="2"/>
        <v/>
      </c>
    </row>
    <row r="22" spans="2:29" ht="29.4" customHeight="1" thickBot="1" x14ac:dyDescent="0.35">
      <c r="B22" s="40">
        <f>'Micro-planning'!A12</f>
        <v>10</v>
      </c>
      <c r="C22" s="7" t="str">
        <f>'Micro-planning'!C12</f>
        <v>Discuter la formalisation du GTT à la prochaine réunion</v>
      </c>
      <c r="D22" s="66">
        <f>'Micro-planning'!D12</f>
        <v>45946</v>
      </c>
      <c r="E22" s="67">
        <f>'Micro-planning'!E12</f>
        <v>45946</v>
      </c>
      <c r="F22" s="83" t="str">
        <f>'Micro-planning'!G12</f>
        <v>Réalisée</v>
      </c>
      <c r="G22" s="111" t="str">
        <f t="shared" si="1"/>
        <v/>
      </c>
      <c r="H22" s="101" t="str">
        <f t="shared" si="1"/>
        <v/>
      </c>
      <c r="I22" s="101" t="str">
        <f t="shared" si="1"/>
        <v>X</v>
      </c>
      <c r="J22" s="102" t="str">
        <f t="shared" si="1"/>
        <v/>
      </c>
      <c r="K22" s="103" t="str">
        <f t="shared" si="1"/>
        <v/>
      </c>
      <c r="L22" s="100" t="str">
        <f t="shared" si="1"/>
        <v/>
      </c>
      <c r="M22" s="101" t="str">
        <f t="shared" si="1"/>
        <v/>
      </c>
      <c r="N22" s="101" t="str">
        <f t="shared" si="1"/>
        <v/>
      </c>
      <c r="O22" s="103" t="str">
        <f t="shared" si="1"/>
        <v/>
      </c>
      <c r="P22" s="100" t="str">
        <f t="shared" si="1"/>
        <v/>
      </c>
      <c r="Q22" s="101" t="str">
        <f t="shared" si="1"/>
        <v/>
      </c>
      <c r="R22" s="101" t="str">
        <f t="shared" si="1"/>
        <v/>
      </c>
      <c r="S22" s="102" t="str">
        <f t="shared" si="1"/>
        <v/>
      </c>
      <c r="T22" s="103" t="str">
        <f t="shared" si="1"/>
        <v/>
      </c>
      <c r="U22" s="100" t="str">
        <f t="shared" si="1"/>
        <v/>
      </c>
      <c r="V22" s="101" t="str">
        <f t="shared" si="1"/>
        <v/>
      </c>
      <c r="W22" s="101" t="str">
        <f t="shared" si="2"/>
        <v/>
      </c>
      <c r="X22" s="102" t="str">
        <f t="shared" si="2"/>
        <v/>
      </c>
      <c r="Y22" s="103" t="str">
        <f t="shared" si="2"/>
        <v/>
      </c>
      <c r="Z22" s="100" t="str">
        <f t="shared" si="2"/>
        <v/>
      </c>
      <c r="AA22" s="101" t="str">
        <f t="shared" si="2"/>
        <v/>
      </c>
      <c r="AB22" s="101" t="str">
        <f t="shared" si="2"/>
        <v/>
      </c>
      <c r="AC22" s="103" t="str">
        <f t="shared" si="2"/>
        <v/>
      </c>
    </row>
    <row r="23" spans="2:29" ht="41.4" customHeight="1" thickBot="1" x14ac:dyDescent="0.35">
      <c r="B23" s="39">
        <f>'Micro-planning'!A13</f>
        <v>11</v>
      </c>
      <c r="C23" s="8" t="str">
        <f>'Micro-planning'!C13</f>
        <v>Réunion entre les partenaires techniques afin de déterminer les données à partager</v>
      </c>
      <c r="D23" s="62">
        <f>'Micro-planning'!D13</f>
        <v>45946</v>
      </c>
      <c r="E23" s="63">
        <f>'Micro-planning'!E13</f>
        <v>45946</v>
      </c>
      <c r="F23" s="84" t="str">
        <f>'Micro-planning'!G13</f>
        <v>Non demarrée</v>
      </c>
      <c r="G23" s="109" t="str">
        <f t="shared" si="1"/>
        <v/>
      </c>
      <c r="H23" s="86" t="str">
        <f t="shared" si="1"/>
        <v/>
      </c>
      <c r="I23" s="86" t="str">
        <f t="shared" si="1"/>
        <v>X</v>
      </c>
      <c r="J23" s="87" t="str">
        <f t="shared" si="1"/>
        <v/>
      </c>
      <c r="K23" s="88" t="str">
        <f t="shared" si="1"/>
        <v/>
      </c>
      <c r="L23" s="85" t="str">
        <f t="shared" si="1"/>
        <v/>
      </c>
      <c r="M23" s="86" t="str">
        <f t="shared" si="1"/>
        <v/>
      </c>
      <c r="N23" s="86" t="str">
        <f t="shared" si="1"/>
        <v/>
      </c>
      <c r="O23" s="88" t="str">
        <f t="shared" si="1"/>
        <v/>
      </c>
      <c r="P23" s="85" t="str">
        <f t="shared" si="1"/>
        <v/>
      </c>
      <c r="Q23" s="86" t="str">
        <f t="shared" si="1"/>
        <v/>
      </c>
      <c r="R23" s="86" t="str">
        <f t="shared" si="1"/>
        <v/>
      </c>
      <c r="S23" s="87" t="str">
        <f t="shared" si="1"/>
        <v/>
      </c>
      <c r="T23" s="88" t="str">
        <f t="shared" si="1"/>
        <v/>
      </c>
      <c r="U23" s="85" t="str">
        <f t="shared" si="1"/>
        <v/>
      </c>
      <c r="V23" s="86" t="str">
        <f t="shared" si="1"/>
        <v/>
      </c>
      <c r="W23" s="86" t="str">
        <f t="shared" si="2"/>
        <v/>
      </c>
      <c r="X23" s="87" t="str">
        <f t="shared" si="2"/>
        <v/>
      </c>
      <c r="Y23" s="88" t="str">
        <f t="shared" si="2"/>
        <v/>
      </c>
      <c r="Z23" s="85" t="str">
        <f t="shared" si="2"/>
        <v/>
      </c>
      <c r="AA23" s="86" t="str">
        <f t="shared" si="2"/>
        <v/>
      </c>
      <c r="AB23" s="86" t="str">
        <f t="shared" si="2"/>
        <v/>
      </c>
      <c r="AC23" s="88" t="str">
        <f t="shared" si="2"/>
        <v/>
      </c>
    </row>
    <row r="24" spans="2:29" ht="31.8" thickBot="1" x14ac:dyDescent="0.35">
      <c r="B24" s="40">
        <f>'Micro-planning'!A14</f>
        <v>12</v>
      </c>
      <c r="C24" s="7" t="str">
        <f>'Micro-planning'!C14</f>
        <v>Partager les spécifications techniques pour l'environnement de test avec la SNDI</v>
      </c>
      <c r="D24" s="66">
        <f>'Micro-planning'!D14</f>
        <v>45950</v>
      </c>
      <c r="E24" s="67">
        <f>'Micro-planning'!E14</f>
        <v>45950</v>
      </c>
      <c r="F24" s="83" t="str">
        <f>'Micro-planning'!G14</f>
        <v>En cours</v>
      </c>
      <c r="G24" s="111" t="str">
        <f t="shared" si="1"/>
        <v/>
      </c>
      <c r="H24" s="101" t="str">
        <f t="shared" si="1"/>
        <v/>
      </c>
      <c r="I24" s="101" t="str">
        <f t="shared" si="1"/>
        <v/>
      </c>
      <c r="J24" s="102" t="str">
        <f t="shared" si="1"/>
        <v>X</v>
      </c>
      <c r="K24" s="103" t="str">
        <f t="shared" si="1"/>
        <v/>
      </c>
      <c r="L24" s="100" t="str">
        <f t="shared" si="1"/>
        <v/>
      </c>
      <c r="M24" s="101" t="str">
        <f t="shared" si="1"/>
        <v/>
      </c>
      <c r="N24" s="101" t="str">
        <f t="shared" si="1"/>
        <v/>
      </c>
      <c r="O24" s="103" t="str">
        <f t="shared" si="1"/>
        <v/>
      </c>
      <c r="P24" s="100" t="str">
        <f t="shared" si="1"/>
        <v/>
      </c>
      <c r="Q24" s="101" t="str">
        <f t="shared" si="1"/>
        <v/>
      </c>
      <c r="R24" s="101" t="str">
        <f t="shared" si="1"/>
        <v/>
      </c>
      <c r="S24" s="102" t="str">
        <f t="shared" si="1"/>
        <v/>
      </c>
      <c r="T24" s="103" t="str">
        <f t="shared" si="1"/>
        <v/>
      </c>
      <c r="U24" s="100" t="str">
        <f t="shared" si="1"/>
        <v/>
      </c>
      <c r="V24" s="101" t="str">
        <f t="shared" si="1"/>
        <v/>
      </c>
      <c r="W24" s="101" t="str">
        <f t="shared" si="2"/>
        <v/>
      </c>
      <c r="X24" s="102" t="str">
        <f t="shared" si="2"/>
        <v/>
      </c>
      <c r="Y24" s="103" t="str">
        <f t="shared" si="2"/>
        <v/>
      </c>
      <c r="Z24" s="100" t="str">
        <f t="shared" si="2"/>
        <v/>
      </c>
      <c r="AA24" s="101" t="str">
        <f t="shared" si="2"/>
        <v/>
      </c>
      <c r="AB24" s="101" t="str">
        <f t="shared" si="2"/>
        <v/>
      </c>
      <c r="AC24" s="103" t="str">
        <f t="shared" si="2"/>
        <v/>
      </c>
    </row>
    <row r="25" spans="2:29" ht="41.4" customHeight="1" thickBot="1" x14ac:dyDescent="0.35">
      <c r="B25" s="39">
        <f>'Micro-planning'!A15</f>
        <v>13</v>
      </c>
      <c r="C25" s="8" t="str">
        <f>'Micro-planning'!C15</f>
        <v>Mettre en place un environnement neutre de test commun</v>
      </c>
      <c r="D25" s="62">
        <f>'Micro-planning'!D15</f>
        <v>45951</v>
      </c>
      <c r="E25" s="63">
        <f>'Micro-planning'!E15</f>
        <v>45954</v>
      </c>
      <c r="F25" s="84" t="str">
        <f>'Micro-planning'!G15</f>
        <v>Réalisée</v>
      </c>
      <c r="G25" s="109" t="str">
        <f t="shared" si="1"/>
        <v/>
      </c>
      <c r="H25" s="86" t="str">
        <f t="shared" si="1"/>
        <v/>
      </c>
      <c r="I25" s="86" t="str">
        <f t="shared" si="1"/>
        <v/>
      </c>
      <c r="J25" s="87" t="str">
        <f t="shared" si="1"/>
        <v>X</v>
      </c>
      <c r="K25" s="88" t="str">
        <f t="shared" si="1"/>
        <v/>
      </c>
      <c r="L25" s="85" t="str">
        <f t="shared" si="1"/>
        <v/>
      </c>
      <c r="M25" s="86" t="str">
        <f t="shared" si="1"/>
        <v/>
      </c>
      <c r="N25" s="86" t="str">
        <f t="shared" si="1"/>
        <v/>
      </c>
      <c r="O25" s="88" t="str">
        <f t="shared" si="1"/>
        <v/>
      </c>
      <c r="P25" s="85" t="str">
        <f t="shared" si="1"/>
        <v/>
      </c>
      <c r="Q25" s="86" t="str">
        <f t="shared" si="1"/>
        <v/>
      </c>
      <c r="R25" s="86" t="str">
        <f t="shared" si="1"/>
        <v/>
      </c>
      <c r="S25" s="87" t="str">
        <f t="shared" si="1"/>
        <v/>
      </c>
      <c r="T25" s="88" t="str">
        <f t="shared" si="1"/>
        <v/>
      </c>
      <c r="U25" s="85" t="str">
        <f t="shared" si="1"/>
        <v/>
      </c>
      <c r="V25" s="86" t="str">
        <f t="shared" si="1"/>
        <v/>
      </c>
      <c r="W25" s="86" t="str">
        <f t="shared" si="2"/>
        <v/>
      </c>
      <c r="X25" s="87" t="str">
        <f t="shared" si="2"/>
        <v/>
      </c>
      <c r="Y25" s="88" t="str">
        <f t="shared" si="2"/>
        <v/>
      </c>
      <c r="Z25" s="85" t="str">
        <f t="shared" si="2"/>
        <v/>
      </c>
      <c r="AA25" s="86" t="str">
        <f t="shared" si="2"/>
        <v/>
      </c>
      <c r="AB25" s="86" t="str">
        <f t="shared" si="2"/>
        <v/>
      </c>
      <c r="AC25" s="88" t="str">
        <f t="shared" si="2"/>
        <v/>
      </c>
    </row>
    <row r="26" spans="2:29" ht="31.8" thickBot="1" x14ac:dyDescent="0.35">
      <c r="B26" s="40">
        <f>'Micro-planning'!A16</f>
        <v>14</v>
      </c>
      <c r="C26" s="7" t="str">
        <f>'Micro-planning'!C16</f>
        <v>Elaborer un plan de tests (fonctionnalité, sécurité et intégration) des APIs</v>
      </c>
      <c r="D26" s="66">
        <f>'Micro-planning'!D16</f>
        <v>45957</v>
      </c>
      <c r="E26" s="67">
        <f>'Micro-planning'!E16</f>
        <v>45957</v>
      </c>
      <c r="F26" s="83" t="str">
        <f>'Micro-planning'!G16</f>
        <v>Non réalisée</v>
      </c>
      <c r="G26" s="111" t="str">
        <f t="shared" si="1"/>
        <v/>
      </c>
      <c r="H26" s="101" t="str">
        <f t="shared" si="1"/>
        <v/>
      </c>
      <c r="I26" s="101" t="str">
        <f t="shared" si="1"/>
        <v/>
      </c>
      <c r="J26" s="102" t="str">
        <f t="shared" si="1"/>
        <v/>
      </c>
      <c r="K26" s="103" t="str">
        <f t="shared" si="1"/>
        <v>X</v>
      </c>
      <c r="L26" s="100" t="str">
        <f t="shared" si="1"/>
        <v/>
      </c>
      <c r="M26" s="101" t="str">
        <f t="shared" si="1"/>
        <v/>
      </c>
      <c r="N26" s="101" t="str">
        <f t="shared" si="1"/>
        <v/>
      </c>
      <c r="O26" s="103" t="str">
        <f t="shared" si="1"/>
        <v/>
      </c>
      <c r="P26" s="100" t="str">
        <f t="shared" si="1"/>
        <v/>
      </c>
      <c r="Q26" s="101" t="str">
        <f t="shared" si="1"/>
        <v/>
      </c>
      <c r="R26" s="101" t="str">
        <f t="shared" si="1"/>
        <v/>
      </c>
      <c r="S26" s="102" t="str">
        <f t="shared" si="1"/>
        <v/>
      </c>
      <c r="T26" s="103" t="str">
        <f t="shared" si="1"/>
        <v/>
      </c>
      <c r="U26" s="100" t="str">
        <f t="shared" si="1"/>
        <v/>
      </c>
      <c r="V26" s="101" t="str">
        <f t="shared" si="1"/>
        <v/>
      </c>
      <c r="W26" s="101" t="str">
        <f t="shared" si="2"/>
        <v/>
      </c>
      <c r="X26" s="102" t="str">
        <f t="shared" si="2"/>
        <v/>
      </c>
      <c r="Y26" s="103" t="str">
        <f t="shared" si="2"/>
        <v/>
      </c>
      <c r="Z26" s="100" t="str">
        <f t="shared" si="2"/>
        <v/>
      </c>
      <c r="AA26" s="101" t="str">
        <f t="shared" si="2"/>
        <v/>
      </c>
      <c r="AB26" s="101" t="str">
        <f t="shared" si="2"/>
        <v/>
      </c>
      <c r="AC26" s="103" t="str">
        <f t="shared" si="2"/>
        <v/>
      </c>
    </row>
    <row r="27" spans="2:29" ht="41.4" customHeight="1" thickBot="1" x14ac:dyDescent="0.35">
      <c r="B27" s="39">
        <f>'Micro-planning'!A17</f>
        <v>15</v>
      </c>
      <c r="C27" s="8" t="str">
        <f>'Micro-planning'!C17</f>
        <v>Mettre à disposition le référentiel des centres de santé actualisé</v>
      </c>
      <c r="D27" s="62">
        <f>'Micro-planning'!D17</f>
        <v>45957</v>
      </c>
      <c r="E27" s="63">
        <f>'Micro-planning'!E17</f>
        <v>45957</v>
      </c>
      <c r="F27" s="84" t="str">
        <f>'Micro-planning'!G17</f>
        <v>Non demarrée</v>
      </c>
      <c r="G27" s="109" t="str">
        <f t="shared" si="1"/>
        <v/>
      </c>
      <c r="H27" s="86" t="str">
        <f t="shared" si="1"/>
        <v/>
      </c>
      <c r="I27" s="86" t="str">
        <f t="shared" si="1"/>
        <v/>
      </c>
      <c r="J27" s="87" t="str">
        <f t="shared" si="1"/>
        <v/>
      </c>
      <c r="K27" s="88" t="str">
        <f t="shared" si="1"/>
        <v>X</v>
      </c>
      <c r="L27" s="85" t="str">
        <f t="shared" si="1"/>
        <v/>
      </c>
      <c r="M27" s="86" t="str">
        <f t="shared" si="1"/>
        <v/>
      </c>
      <c r="N27" s="86" t="str">
        <f t="shared" si="1"/>
        <v/>
      </c>
      <c r="O27" s="88" t="str">
        <f t="shared" si="1"/>
        <v/>
      </c>
      <c r="P27" s="85" t="str">
        <f t="shared" si="1"/>
        <v/>
      </c>
      <c r="Q27" s="86" t="str">
        <f t="shared" si="1"/>
        <v/>
      </c>
      <c r="R27" s="86" t="str">
        <f t="shared" si="1"/>
        <v/>
      </c>
      <c r="S27" s="87" t="str">
        <f t="shared" si="1"/>
        <v/>
      </c>
      <c r="T27" s="88" t="str">
        <f t="shared" si="1"/>
        <v/>
      </c>
      <c r="U27" s="85" t="str">
        <f t="shared" si="1"/>
        <v/>
      </c>
      <c r="V27" s="86" t="str">
        <f t="shared" si="1"/>
        <v/>
      </c>
      <c r="W27" s="86" t="str">
        <f t="shared" si="2"/>
        <v/>
      </c>
      <c r="X27" s="87" t="str">
        <f t="shared" si="2"/>
        <v/>
      </c>
      <c r="Y27" s="88" t="str">
        <f t="shared" si="2"/>
        <v/>
      </c>
      <c r="Z27" s="85" t="str">
        <f t="shared" si="2"/>
        <v/>
      </c>
      <c r="AA27" s="86" t="str">
        <f t="shared" si="2"/>
        <v/>
      </c>
      <c r="AB27" s="86" t="str">
        <f t="shared" si="2"/>
        <v/>
      </c>
      <c r="AC27" s="88" t="str">
        <f t="shared" si="2"/>
        <v/>
      </c>
    </row>
    <row r="28" spans="2:29" ht="31.8" thickBot="1" x14ac:dyDescent="0.35">
      <c r="B28" s="40">
        <f>'Micro-planning'!A18</f>
        <v>16</v>
      </c>
      <c r="C28" s="7" t="str">
        <f>'Micro-planning'!C18</f>
        <v>Mettre à disposition le référentiel des professionnels de santé actualisé</v>
      </c>
      <c r="D28" s="66">
        <f>'Micro-planning'!D18</f>
        <v>45957</v>
      </c>
      <c r="E28" s="67">
        <f>'Micro-planning'!E18</f>
        <v>45957</v>
      </c>
      <c r="F28" s="83" t="str">
        <f>'Micro-planning'!G18</f>
        <v>Non réalisée</v>
      </c>
      <c r="G28" s="111" t="str">
        <f t="shared" si="1"/>
        <v/>
      </c>
      <c r="H28" s="101" t="str">
        <f t="shared" si="1"/>
        <v/>
      </c>
      <c r="I28" s="101" t="str">
        <f t="shared" si="1"/>
        <v/>
      </c>
      <c r="J28" s="102" t="str">
        <f t="shared" si="1"/>
        <v/>
      </c>
      <c r="K28" s="103" t="str">
        <f t="shared" si="1"/>
        <v>X</v>
      </c>
      <c r="L28" s="100" t="str">
        <f t="shared" si="1"/>
        <v/>
      </c>
      <c r="M28" s="101" t="str">
        <f t="shared" si="1"/>
        <v/>
      </c>
      <c r="N28" s="101" t="str">
        <f t="shared" si="1"/>
        <v/>
      </c>
      <c r="O28" s="103" t="str">
        <f t="shared" si="1"/>
        <v/>
      </c>
      <c r="P28" s="100" t="str">
        <f t="shared" si="1"/>
        <v/>
      </c>
      <c r="Q28" s="101" t="str">
        <f t="shared" si="1"/>
        <v/>
      </c>
      <c r="R28" s="101" t="str">
        <f t="shared" si="1"/>
        <v/>
      </c>
      <c r="S28" s="102" t="str">
        <f t="shared" si="1"/>
        <v/>
      </c>
      <c r="T28" s="103" t="str">
        <f t="shared" si="1"/>
        <v/>
      </c>
      <c r="U28" s="100" t="str">
        <f t="shared" si="1"/>
        <v/>
      </c>
      <c r="V28" s="101" t="str">
        <f t="shared" si="1"/>
        <v/>
      </c>
      <c r="W28" s="101" t="str">
        <f t="shared" si="2"/>
        <v/>
      </c>
      <c r="X28" s="102" t="str">
        <f t="shared" si="2"/>
        <v/>
      </c>
      <c r="Y28" s="103" t="str">
        <f t="shared" si="2"/>
        <v/>
      </c>
      <c r="Z28" s="100" t="str">
        <f t="shared" si="2"/>
        <v/>
      </c>
      <c r="AA28" s="101" t="str">
        <f t="shared" si="2"/>
        <v/>
      </c>
      <c r="AB28" s="101" t="str">
        <f t="shared" si="2"/>
        <v/>
      </c>
      <c r="AC28" s="103" t="str">
        <f t="shared" si="2"/>
        <v/>
      </c>
    </row>
    <row r="29" spans="2:29" ht="41.4" customHeight="1" thickBot="1" x14ac:dyDescent="0.35">
      <c r="B29" s="39">
        <f>'Micro-planning'!A19</f>
        <v>17</v>
      </c>
      <c r="C29" s="8" t="str">
        <f>'Micro-planning'!C19</f>
        <v>Mettre à disposition le référentiel des produits pharmaceutiques actualisé</v>
      </c>
      <c r="D29" s="62">
        <f>'Micro-planning'!D19</f>
        <v>45957</v>
      </c>
      <c r="E29" s="63">
        <f>'Micro-planning'!E19</f>
        <v>45957</v>
      </c>
      <c r="F29" s="84" t="str">
        <f>'Micro-planning'!G19</f>
        <v>Non demarrée</v>
      </c>
      <c r="G29" s="109" t="str">
        <f t="shared" ref="G29:AC36" si="3">IF(AND($D29&gt;G$11,$D29&gt;=H$11),"",IF($E29&gt;=G$11,"X",""))</f>
        <v/>
      </c>
      <c r="H29" s="86" t="str">
        <f t="shared" si="3"/>
        <v/>
      </c>
      <c r="I29" s="86" t="str">
        <f t="shared" si="3"/>
        <v/>
      </c>
      <c r="J29" s="87" t="str">
        <f t="shared" si="3"/>
        <v/>
      </c>
      <c r="K29" s="88" t="str">
        <f t="shared" si="3"/>
        <v>X</v>
      </c>
      <c r="L29" s="85" t="str">
        <f t="shared" si="3"/>
        <v/>
      </c>
      <c r="M29" s="86" t="str">
        <f t="shared" si="3"/>
        <v/>
      </c>
      <c r="N29" s="86" t="str">
        <f t="shared" si="3"/>
        <v/>
      </c>
      <c r="O29" s="88" t="str">
        <f t="shared" si="3"/>
        <v/>
      </c>
      <c r="P29" s="85" t="str">
        <f t="shared" si="3"/>
        <v/>
      </c>
      <c r="Q29" s="86" t="str">
        <f t="shared" si="3"/>
        <v/>
      </c>
      <c r="R29" s="86" t="str">
        <f t="shared" si="3"/>
        <v/>
      </c>
      <c r="S29" s="87" t="str">
        <f t="shared" si="3"/>
        <v/>
      </c>
      <c r="T29" s="88" t="str">
        <f t="shared" si="3"/>
        <v/>
      </c>
      <c r="U29" s="85" t="str">
        <f t="shared" si="3"/>
        <v/>
      </c>
      <c r="V29" s="86" t="str">
        <f t="shared" si="3"/>
        <v/>
      </c>
      <c r="W29" s="86" t="str">
        <f t="shared" si="3"/>
        <v/>
      </c>
      <c r="X29" s="87" t="str">
        <f t="shared" si="3"/>
        <v/>
      </c>
      <c r="Y29" s="88" t="str">
        <f t="shared" si="3"/>
        <v/>
      </c>
      <c r="Z29" s="85" t="str">
        <f t="shared" si="3"/>
        <v/>
      </c>
      <c r="AA29" s="86" t="str">
        <f t="shared" si="3"/>
        <v/>
      </c>
      <c r="AB29" s="86" t="str">
        <f t="shared" si="3"/>
        <v/>
      </c>
      <c r="AC29" s="88" t="str">
        <f t="shared" si="3"/>
        <v/>
      </c>
    </row>
    <row r="30" spans="2:29" ht="47.4" thickBot="1" x14ac:dyDescent="0.35">
      <c r="B30" s="40">
        <f>'Micro-planning'!A20</f>
        <v>18</v>
      </c>
      <c r="C30" s="7" t="str">
        <f>'Micro-planning'!C20</f>
        <v>Tester les APIs selon les cas d'usage : du patient, du prestataire, de la couverture et des remboursement PBF et CMU</v>
      </c>
      <c r="D30" s="68">
        <f>'Micro-planning'!D20</f>
        <v>45958</v>
      </c>
      <c r="E30" s="69">
        <f>'Micro-planning'!E20</f>
        <v>45963</v>
      </c>
      <c r="F30" s="83" t="str">
        <f>'Micro-planning'!G20</f>
        <v>Réalisée</v>
      </c>
      <c r="G30" s="111" t="str">
        <f t="shared" si="3"/>
        <v/>
      </c>
      <c r="H30" s="101" t="str">
        <f t="shared" si="3"/>
        <v/>
      </c>
      <c r="I30" s="101" t="str">
        <f t="shared" si="3"/>
        <v/>
      </c>
      <c r="J30" s="102" t="str">
        <f t="shared" si="3"/>
        <v/>
      </c>
      <c r="K30" s="103" t="str">
        <f t="shared" si="3"/>
        <v>X</v>
      </c>
      <c r="L30" s="100" t="str">
        <f t="shared" si="3"/>
        <v/>
      </c>
      <c r="M30" s="101" t="str">
        <f t="shared" si="3"/>
        <v/>
      </c>
      <c r="N30" s="101" t="str">
        <f t="shared" si="3"/>
        <v/>
      </c>
      <c r="O30" s="103" t="str">
        <f t="shared" si="3"/>
        <v/>
      </c>
      <c r="P30" s="100" t="str">
        <f t="shared" si="3"/>
        <v/>
      </c>
      <c r="Q30" s="101" t="str">
        <f t="shared" si="3"/>
        <v/>
      </c>
      <c r="R30" s="101" t="str">
        <f t="shared" si="3"/>
        <v/>
      </c>
      <c r="S30" s="102" t="str">
        <f t="shared" si="3"/>
        <v/>
      </c>
      <c r="T30" s="103" t="str">
        <f t="shared" si="3"/>
        <v/>
      </c>
      <c r="U30" s="100" t="str">
        <f t="shared" si="3"/>
        <v/>
      </c>
      <c r="V30" s="101" t="str">
        <f t="shared" si="3"/>
        <v/>
      </c>
      <c r="W30" s="101" t="str">
        <f t="shared" si="3"/>
        <v/>
      </c>
      <c r="X30" s="102" t="str">
        <f t="shared" si="3"/>
        <v/>
      </c>
      <c r="Y30" s="103" t="str">
        <f t="shared" si="3"/>
        <v/>
      </c>
      <c r="Z30" s="100" t="str">
        <f t="shared" si="3"/>
        <v/>
      </c>
      <c r="AA30" s="101" t="str">
        <f t="shared" si="3"/>
        <v/>
      </c>
      <c r="AB30" s="101" t="str">
        <f t="shared" si="3"/>
        <v/>
      </c>
      <c r="AC30" s="103" t="str">
        <f t="shared" si="3"/>
        <v/>
      </c>
    </row>
    <row r="31" spans="2:29" ht="41.4" customHeight="1" thickBot="1" x14ac:dyDescent="0.35">
      <c r="B31" s="39">
        <f>'Micro-planning'!A21</f>
        <v>19</v>
      </c>
      <c r="C31" s="8" t="str">
        <f>'Micro-planning'!C21</f>
        <v>Mettre à disposition le master patient file (CNAM) avec les autres systèmes</v>
      </c>
      <c r="D31" s="70">
        <f>'Micro-planning'!D21</f>
        <v>45962</v>
      </c>
      <c r="E31" s="71" t="s">
        <v>46</v>
      </c>
      <c r="F31" s="84" t="str">
        <f>'Micro-planning'!G21</f>
        <v>En cours</v>
      </c>
      <c r="G31" s="109" t="str">
        <f t="shared" si="3"/>
        <v/>
      </c>
      <c r="H31" s="86" t="str">
        <f t="shared" si="3"/>
        <v/>
      </c>
      <c r="I31" s="86" t="str">
        <f t="shared" si="3"/>
        <v/>
      </c>
      <c r="J31" s="87" t="str">
        <f t="shared" si="3"/>
        <v/>
      </c>
      <c r="K31" s="88" t="str">
        <f t="shared" si="3"/>
        <v>X</v>
      </c>
      <c r="L31" s="85" t="str">
        <f t="shared" si="3"/>
        <v>X</v>
      </c>
      <c r="M31" s="86" t="str">
        <f t="shared" si="3"/>
        <v>X</v>
      </c>
      <c r="N31" s="86" t="str">
        <f t="shared" si="3"/>
        <v>X</v>
      </c>
      <c r="O31" s="88" t="str">
        <f t="shared" si="3"/>
        <v>X</v>
      </c>
      <c r="P31" s="85" t="str">
        <f t="shared" si="3"/>
        <v>X</v>
      </c>
      <c r="Q31" s="86" t="str">
        <f t="shared" si="3"/>
        <v>X</v>
      </c>
      <c r="R31" s="86" t="str">
        <f t="shared" si="3"/>
        <v>X</v>
      </c>
      <c r="S31" s="87" t="str">
        <f t="shared" si="3"/>
        <v>X</v>
      </c>
      <c r="T31" s="88" t="str">
        <f t="shared" si="3"/>
        <v>X</v>
      </c>
      <c r="U31" s="85" t="str">
        <f t="shared" si="3"/>
        <v>X</v>
      </c>
      <c r="V31" s="86" t="str">
        <f t="shared" si="3"/>
        <v>X</v>
      </c>
      <c r="W31" s="86" t="str">
        <f t="shared" si="3"/>
        <v>X</v>
      </c>
      <c r="X31" s="87" t="str">
        <f t="shared" si="3"/>
        <v>X</v>
      </c>
      <c r="Y31" s="88" t="str">
        <f t="shared" si="3"/>
        <v>X</v>
      </c>
      <c r="Z31" s="85" t="str">
        <f t="shared" si="3"/>
        <v>X</v>
      </c>
      <c r="AA31" s="86" t="str">
        <f t="shared" si="3"/>
        <v>X</v>
      </c>
      <c r="AB31" s="86" t="str">
        <f t="shared" si="3"/>
        <v>X</v>
      </c>
      <c r="AC31" s="88" t="str">
        <f t="shared" si="3"/>
        <v>X</v>
      </c>
    </row>
    <row r="32" spans="2:29" ht="31.8" thickBot="1" x14ac:dyDescent="0.35">
      <c r="B32" s="40">
        <f>'Micro-planning'!A22</f>
        <v>20</v>
      </c>
      <c r="C32" s="7" t="str">
        <f>'Micro-planning'!C22</f>
        <v>Mettre à niveau les infrastructures dans les sites de la phase pilote</v>
      </c>
      <c r="D32" s="68">
        <f>'Micro-planning'!D22</f>
        <v>45963</v>
      </c>
      <c r="E32" s="69">
        <f>'Micro-planning'!E22</f>
        <v>45991</v>
      </c>
      <c r="F32" s="83" t="str">
        <f>'Micro-planning'!G22</f>
        <v>En cours</v>
      </c>
      <c r="G32" s="111" t="str">
        <f t="shared" si="3"/>
        <v/>
      </c>
      <c r="H32" s="101" t="str">
        <f t="shared" si="3"/>
        <v/>
      </c>
      <c r="I32" s="101" t="str">
        <f t="shared" si="3"/>
        <v/>
      </c>
      <c r="J32" s="102" t="str">
        <f t="shared" si="3"/>
        <v/>
      </c>
      <c r="K32" s="103" t="str">
        <f t="shared" si="3"/>
        <v>X</v>
      </c>
      <c r="L32" s="100" t="str">
        <f t="shared" si="3"/>
        <v>X</v>
      </c>
      <c r="M32" s="101" t="str">
        <f t="shared" si="3"/>
        <v>X</v>
      </c>
      <c r="N32" s="101" t="str">
        <f t="shared" si="3"/>
        <v>X</v>
      </c>
      <c r="O32" s="103" t="str">
        <f t="shared" si="3"/>
        <v>X</v>
      </c>
      <c r="P32" s="100" t="str">
        <f t="shared" si="3"/>
        <v/>
      </c>
      <c r="Q32" s="101" t="str">
        <f t="shared" si="3"/>
        <v/>
      </c>
      <c r="R32" s="101" t="str">
        <f t="shared" si="3"/>
        <v/>
      </c>
      <c r="S32" s="102" t="str">
        <f t="shared" si="3"/>
        <v/>
      </c>
      <c r="T32" s="103" t="str">
        <f t="shared" si="3"/>
        <v/>
      </c>
      <c r="U32" s="100" t="str">
        <f t="shared" si="3"/>
        <v/>
      </c>
      <c r="V32" s="101" t="str">
        <f t="shared" si="3"/>
        <v/>
      </c>
      <c r="W32" s="101" t="str">
        <f t="shared" si="3"/>
        <v/>
      </c>
      <c r="X32" s="102" t="str">
        <f t="shared" si="3"/>
        <v/>
      </c>
      <c r="Y32" s="103" t="str">
        <f t="shared" si="3"/>
        <v/>
      </c>
      <c r="Z32" s="100" t="str">
        <f t="shared" si="3"/>
        <v/>
      </c>
      <c r="AA32" s="101" t="str">
        <f t="shared" si="3"/>
        <v/>
      </c>
      <c r="AB32" s="101" t="str">
        <f t="shared" si="3"/>
        <v/>
      </c>
      <c r="AC32" s="103" t="str">
        <f t="shared" si="3"/>
        <v/>
      </c>
    </row>
    <row r="33" spans="2:29" ht="37.799999999999997" customHeight="1" thickBot="1" x14ac:dyDescent="0.35">
      <c r="B33" s="39">
        <f>'Micro-planning'!A23</f>
        <v>21</v>
      </c>
      <c r="C33" s="8" t="str">
        <f>'Micro-planning'!C23</f>
        <v>Go live de la phase pilote</v>
      </c>
      <c r="D33" s="70">
        <f>'Micro-planning'!D23</f>
        <v>45995</v>
      </c>
      <c r="E33" s="71">
        <f>'Micro-planning'!E23</f>
        <v>45995</v>
      </c>
      <c r="F33" s="84" t="str">
        <f>'Micro-planning'!G23</f>
        <v>En cours</v>
      </c>
      <c r="G33" s="109" t="str">
        <f t="shared" si="3"/>
        <v/>
      </c>
      <c r="H33" s="86" t="str">
        <f t="shared" si="3"/>
        <v/>
      </c>
      <c r="I33" s="86" t="str">
        <f t="shared" si="3"/>
        <v/>
      </c>
      <c r="J33" s="87" t="str">
        <f t="shared" si="3"/>
        <v/>
      </c>
      <c r="K33" s="87" t="str">
        <f t="shared" si="3"/>
        <v/>
      </c>
      <c r="L33" s="87" t="str">
        <f t="shared" si="3"/>
        <v/>
      </c>
      <c r="M33" s="87" t="str">
        <f t="shared" si="3"/>
        <v/>
      </c>
      <c r="N33" s="87" t="str">
        <f t="shared" si="3"/>
        <v/>
      </c>
      <c r="O33" s="87" t="str">
        <f t="shared" si="3"/>
        <v/>
      </c>
      <c r="P33" s="85" t="str">
        <f t="shared" si="3"/>
        <v>X</v>
      </c>
      <c r="Q33" s="87" t="str">
        <f t="shared" si="3"/>
        <v/>
      </c>
      <c r="R33" s="87" t="str">
        <f t="shared" si="3"/>
        <v/>
      </c>
      <c r="S33" s="87" t="str">
        <f t="shared" si="3"/>
        <v/>
      </c>
      <c r="T33" s="87" t="str">
        <f t="shared" si="3"/>
        <v/>
      </c>
      <c r="U33" s="87" t="str">
        <f t="shared" si="3"/>
        <v/>
      </c>
      <c r="V33" s="87" t="str">
        <f t="shared" si="3"/>
        <v/>
      </c>
      <c r="W33" s="87" t="str">
        <f t="shared" si="3"/>
        <v/>
      </c>
      <c r="X33" s="87" t="str">
        <f t="shared" si="3"/>
        <v/>
      </c>
      <c r="Y33" s="87" t="str">
        <f t="shared" si="3"/>
        <v/>
      </c>
      <c r="Z33" s="87" t="str">
        <f t="shared" si="3"/>
        <v/>
      </c>
      <c r="AA33" s="87" t="str">
        <f t="shared" si="3"/>
        <v/>
      </c>
      <c r="AB33" s="87" t="str">
        <f t="shared" si="3"/>
        <v/>
      </c>
      <c r="AC33" s="88" t="str">
        <f t="shared" si="3"/>
        <v/>
      </c>
    </row>
    <row r="34" spans="2:29" ht="37.799999999999997" customHeight="1" thickBot="1" x14ac:dyDescent="0.35">
      <c r="B34" s="40">
        <f>'Micro-planning'!A24</f>
        <v>22</v>
      </c>
      <c r="C34" s="7" t="str">
        <f>'Micro-planning'!C24</f>
        <v>Exécuter la phase pilote</v>
      </c>
      <c r="D34" s="68">
        <f>'Micro-planning'!D24</f>
        <v>45999</v>
      </c>
      <c r="E34" s="69">
        <f>'Micro-planning'!E24</f>
        <v>46030</v>
      </c>
      <c r="F34" s="83" t="str">
        <f>'Micro-planning'!G24</f>
        <v>En cours</v>
      </c>
      <c r="G34" s="111" t="str">
        <f t="shared" si="3"/>
        <v/>
      </c>
      <c r="H34" s="101" t="str">
        <f t="shared" si="3"/>
        <v/>
      </c>
      <c r="I34" s="101" t="str">
        <f t="shared" si="3"/>
        <v/>
      </c>
      <c r="J34" s="87" t="str">
        <f t="shared" si="3"/>
        <v/>
      </c>
      <c r="K34" s="87" t="str">
        <f t="shared" si="3"/>
        <v/>
      </c>
      <c r="L34" s="87" t="str">
        <f t="shared" si="3"/>
        <v/>
      </c>
      <c r="M34" s="87" t="str">
        <f t="shared" si="3"/>
        <v/>
      </c>
      <c r="N34" s="87" t="str">
        <f t="shared" si="3"/>
        <v/>
      </c>
      <c r="O34" s="87" t="str">
        <f t="shared" si="3"/>
        <v/>
      </c>
      <c r="P34" s="87" t="str">
        <f t="shared" si="3"/>
        <v/>
      </c>
      <c r="Q34" s="86" t="str">
        <f t="shared" si="3"/>
        <v>X</v>
      </c>
      <c r="R34" s="87" t="str">
        <f t="shared" si="3"/>
        <v>X</v>
      </c>
      <c r="S34" s="87" t="str">
        <f t="shared" si="3"/>
        <v>X</v>
      </c>
      <c r="T34" s="87" t="str">
        <f t="shared" si="3"/>
        <v>X</v>
      </c>
      <c r="U34" s="87" t="str">
        <f t="shared" si="3"/>
        <v>X</v>
      </c>
      <c r="V34" s="87" t="str">
        <f t="shared" si="3"/>
        <v>X</v>
      </c>
      <c r="W34" s="87" t="str">
        <f t="shared" si="3"/>
        <v/>
      </c>
      <c r="X34" s="87" t="str">
        <f t="shared" si="3"/>
        <v/>
      </c>
      <c r="Y34" s="87" t="str">
        <f t="shared" si="3"/>
        <v/>
      </c>
      <c r="Z34" s="87" t="str">
        <f t="shared" si="3"/>
        <v/>
      </c>
      <c r="AA34" s="87" t="str">
        <f t="shared" si="3"/>
        <v/>
      </c>
      <c r="AB34" s="87" t="str">
        <f t="shared" si="3"/>
        <v/>
      </c>
      <c r="AC34" s="88" t="str">
        <f t="shared" si="3"/>
        <v/>
      </c>
    </row>
    <row r="35" spans="2:29" ht="37.799999999999997" customHeight="1" thickBot="1" x14ac:dyDescent="0.35">
      <c r="B35" s="39">
        <f>'Micro-planning'!A25</f>
        <v>23</v>
      </c>
      <c r="C35" s="8" t="str">
        <f>'Micro-planning'!C25</f>
        <v>Evaluer la phase pilote</v>
      </c>
      <c r="D35" s="70">
        <f>'Micro-planning'!D25</f>
        <v>46037</v>
      </c>
      <c r="E35" s="71">
        <f>'Micro-planning'!E25</f>
        <v>46053</v>
      </c>
      <c r="F35" s="84" t="str">
        <f>'Micro-planning'!G25</f>
        <v>Non demarrée</v>
      </c>
      <c r="G35" s="109" t="str">
        <f t="shared" si="3"/>
        <v/>
      </c>
      <c r="H35" s="86" t="str">
        <f t="shared" si="3"/>
        <v/>
      </c>
      <c r="I35" s="86" t="str">
        <f t="shared" si="3"/>
        <v/>
      </c>
      <c r="J35" s="87" t="str">
        <f t="shared" si="3"/>
        <v/>
      </c>
      <c r="K35" s="87" t="str">
        <f t="shared" si="3"/>
        <v/>
      </c>
      <c r="L35" s="87" t="str">
        <f t="shared" si="3"/>
        <v/>
      </c>
      <c r="M35" s="87" t="str">
        <f t="shared" si="3"/>
        <v/>
      </c>
      <c r="N35" s="87" t="str">
        <f t="shared" si="3"/>
        <v/>
      </c>
      <c r="O35" s="87" t="str">
        <f t="shared" si="3"/>
        <v/>
      </c>
      <c r="P35" s="87" t="str">
        <f t="shared" si="3"/>
        <v/>
      </c>
      <c r="Q35" s="87" t="str">
        <f t="shared" si="3"/>
        <v/>
      </c>
      <c r="R35" s="87" t="str">
        <f t="shared" si="3"/>
        <v/>
      </c>
      <c r="S35" s="87" t="str">
        <f t="shared" si="3"/>
        <v/>
      </c>
      <c r="T35" s="87" t="str">
        <f t="shared" si="3"/>
        <v/>
      </c>
      <c r="U35" s="87" t="str">
        <f t="shared" si="3"/>
        <v/>
      </c>
      <c r="V35" s="87" t="str">
        <f t="shared" si="3"/>
        <v/>
      </c>
      <c r="W35" s="87" t="str">
        <f t="shared" si="3"/>
        <v>X</v>
      </c>
      <c r="X35" s="87" t="str">
        <f t="shared" si="3"/>
        <v>X</v>
      </c>
      <c r="Y35" s="87" t="str">
        <f t="shared" si="3"/>
        <v>X</v>
      </c>
      <c r="Z35" s="87" t="str">
        <f t="shared" si="3"/>
        <v>X</v>
      </c>
      <c r="AA35" s="87" t="str">
        <f t="shared" si="3"/>
        <v/>
      </c>
      <c r="AB35" s="87" t="str">
        <f t="shared" si="3"/>
        <v/>
      </c>
      <c r="AC35" s="88" t="str">
        <f t="shared" si="3"/>
        <v/>
      </c>
    </row>
    <row r="36" spans="2:29" ht="37.799999999999997" customHeight="1" thickBot="1" x14ac:dyDescent="0.35">
      <c r="B36" s="40">
        <f>'Micro-planning'!A26</f>
        <v>24</v>
      </c>
      <c r="C36" s="7" t="str">
        <f>'Micro-planning'!C26</f>
        <v>Restituer résultat de l'évaluation de la phase pilote</v>
      </c>
      <c r="D36" s="68">
        <f>'Micro-planning'!D26</f>
        <v>46058</v>
      </c>
      <c r="E36" s="69">
        <f>'Micro-planning'!E26</f>
        <v>46058</v>
      </c>
      <c r="F36" s="83" t="str">
        <f>'Micro-planning'!G26</f>
        <v>Non demarrée</v>
      </c>
      <c r="G36" s="111" t="str">
        <f t="shared" si="3"/>
        <v/>
      </c>
      <c r="H36" s="101" t="str">
        <f t="shared" si="3"/>
        <v/>
      </c>
      <c r="I36" s="101" t="str">
        <f t="shared" si="3"/>
        <v/>
      </c>
      <c r="J36" s="87" t="str">
        <f t="shared" si="3"/>
        <v/>
      </c>
      <c r="K36" s="87" t="str">
        <f t="shared" si="3"/>
        <v/>
      </c>
      <c r="L36" s="87" t="str">
        <f t="shared" si="3"/>
        <v/>
      </c>
      <c r="M36" s="87" t="str">
        <f t="shared" si="3"/>
        <v/>
      </c>
      <c r="N36" s="87" t="str">
        <f t="shared" si="3"/>
        <v/>
      </c>
      <c r="O36" s="87" t="str">
        <f t="shared" si="3"/>
        <v/>
      </c>
      <c r="P36" s="87" t="str">
        <f t="shared" si="3"/>
        <v/>
      </c>
      <c r="Q36" s="87" t="str">
        <f t="shared" si="3"/>
        <v/>
      </c>
      <c r="R36" s="87" t="str">
        <f t="shared" si="3"/>
        <v/>
      </c>
      <c r="S36" s="87" t="str">
        <f t="shared" si="3"/>
        <v/>
      </c>
      <c r="T36" s="87" t="str">
        <f t="shared" si="3"/>
        <v/>
      </c>
      <c r="U36" s="87" t="str">
        <f t="shared" si="3"/>
        <v/>
      </c>
      <c r="V36" s="87" t="str">
        <f t="shared" si="3"/>
        <v/>
      </c>
      <c r="W36" s="87" t="str">
        <f t="shared" si="3"/>
        <v/>
      </c>
      <c r="X36" s="87" t="str">
        <f t="shared" si="3"/>
        <v/>
      </c>
      <c r="Y36" s="87" t="str">
        <f t="shared" si="3"/>
        <v/>
      </c>
      <c r="Z36" s="87" t="str">
        <f t="shared" si="3"/>
        <v/>
      </c>
      <c r="AA36" s="87" t="str">
        <f t="shared" si="3"/>
        <v>X</v>
      </c>
      <c r="AB36" s="87" t="str">
        <f t="shared" si="3"/>
        <v/>
      </c>
      <c r="AC36" s="88" t="str">
        <f t="shared" si="3"/>
        <v/>
      </c>
    </row>
  </sheetData>
  <autoFilter ref="B12:T12" xr:uid="{AE9AE4EC-E026-4AF1-9AA8-BFC31EB74FC9}"/>
  <mergeCells count="5">
    <mergeCell ref="G10:K10"/>
    <mergeCell ref="L10:O10"/>
    <mergeCell ref="P10:T10"/>
    <mergeCell ref="U10:Y10"/>
    <mergeCell ref="Z10:AC10"/>
  </mergeCells>
  <conditionalFormatting sqref="G13:AC36">
    <cfRule type="expression" dxfId="3" priority="1">
      <formula>AND($F13="Non réalisée",G13="X")</formula>
    </cfRule>
    <cfRule type="expression" dxfId="2" priority="2">
      <formula>AND($F13="Réalisée",G13="X")</formula>
    </cfRule>
    <cfRule type="expression" dxfId="1" priority="3">
      <formula>AND($F13="En cours",G13="X")</formula>
    </cfRule>
    <cfRule type="expression" dxfId="0" priority="4">
      <formula>AND($F13="Non demarrée",G13="X")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AE4EC-E026-4AF1-9AA8-BFC31EB74FC9}">
  <dimension ref="A1:G25"/>
  <sheetViews>
    <sheetView tabSelected="1" zoomScale="91" zoomScaleNormal="120" workbookViewId="0">
      <pane xSplit="5" ySplit="1" topLeftCell="F2" activePane="bottomRight" state="frozen"/>
      <selection pane="topRight" activeCell="G1" sqref="G1"/>
      <selection pane="bottomLeft" activeCell="A13" sqref="A13"/>
      <selection pane="bottomRight" activeCell="C2" sqref="C2"/>
    </sheetView>
  </sheetViews>
  <sheetFormatPr baseColWidth="10" defaultRowHeight="14.4" x14ac:dyDescent="0.3"/>
  <cols>
    <col min="1" max="1" width="7.44140625" style="32" customWidth="1"/>
    <col min="2" max="2" width="53.33203125" customWidth="1"/>
    <col min="3" max="4" width="12.33203125" style="33" customWidth="1"/>
    <col min="5" max="5" width="13" style="33" customWidth="1"/>
  </cols>
  <sheetData>
    <row r="1" spans="1:7" ht="16.2" thickBot="1" x14ac:dyDescent="0.35">
      <c r="A1" s="29" t="s">
        <v>84</v>
      </c>
      <c r="B1" s="117" t="s">
        <v>81</v>
      </c>
      <c r="C1" s="72" t="s">
        <v>82</v>
      </c>
      <c r="D1" s="73" t="s">
        <v>83</v>
      </c>
      <c r="E1" s="81" t="s">
        <v>13</v>
      </c>
      <c r="F1" s="114" t="s">
        <v>73</v>
      </c>
      <c r="G1" s="116" t="s">
        <v>80</v>
      </c>
    </row>
    <row r="2" spans="1:7" ht="31.8" thickBot="1" x14ac:dyDescent="0.35">
      <c r="A2" s="36">
        <v>1</v>
      </c>
      <c r="B2" s="4" t="s">
        <v>18</v>
      </c>
      <c r="C2" s="58">
        <v>45943</v>
      </c>
      <c r="D2" s="59">
        <v>45950</v>
      </c>
      <c r="E2" s="82" t="s">
        <v>68</v>
      </c>
      <c r="F2" s="33" t="str">
        <f>IFERROR(VLOOKUP(MONTH(D2),Feuil1!V:W,2,FALSE),"")</f>
        <v>OCTOBRE</v>
      </c>
      <c r="G2" s="112" t="str">
        <f>'Micro-planning'!B3</f>
        <v>MSHPCMU</v>
      </c>
    </row>
    <row r="3" spans="1:7" s="48" customFormat="1" ht="31.8" thickBot="1" x14ac:dyDescent="0.35">
      <c r="A3" s="49">
        <v>2</v>
      </c>
      <c r="B3" s="50" t="s">
        <v>39</v>
      </c>
      <c r="C3" s="60">
        <v>45943</v>
      </c>
      <c r="D3" s="61">
        <v>45945</v>
      </c>
      <c r="E3" s="83" t="s">
        <v>68</v>
      </c>
      <c r="F3" s="33" t="str">
        <f>IFERROR(VLOOKUP(MONTH(D3),Feuil1!V:W,2,FALSE),"")</f>
        <v>OCTOBRE</v>
      </c>
      <c r="G3" s="112" t="str">
        <f>'Micro-planning'!B4</f>
        <v>Partenaires techniques</v>
      </c>
    </row>
    <row r="4" spans="1:7" ht="40.200000000000003" customHeight="1" thickBot="1" x14ac:dyDescent="0.35">
      <c r="A4" s="37">
        <v>3</v>
      </c>
      <c r="B4" s="5" t="s">
        <v>21</v>
      </c>
      <c r="C4" s="62">
        <v>45943</v>
      </c>
      <c r="D4" s="63">
        <v>45960</v>
      </c>
      <c r="E4" s="84" t="s">
        <v>67</v>
      </c>
      <c r="F4" s="33" t="str">
        <f>IFERROR(VLOOKUP(MONTH(D4),Feuil1!V:W,2,FALSE),"")</f>
        <v>OCTOBRE</v>
      </c>
      <c r="G4" s="112" t="str">
        <f>'Micro-planning'!B5</f>
        <v>Partenaires techniques</v>
      </c>
    </row>
    <row r="5" spans="1:7" ht="31.8" thickBot="1" x14ac:dyDescent="0.35">
      <c r="A5" s="38">
        <v>4</v>
      </c>
      <c r="B5" s="6" t="s">
        <v>43</v>
      </c>
      <c r="C5" s="64">
        <v>45943</v>
      </c>
      <c r="D5" s="65">
        <v>45945</v>
      </c>
      <c r="E5" s="83" t="s">
        <v>55</v>
      </c>
      <c r="F5" s="33" t="str">
        <f>IFERROR(VLOOKUP(MONTH(D5),Feuil1!V:W,2,FALSE),"")</f>
        <v>OCTOBRE</v>
      </c>
      <c r="G5" s="112" t="str">
        <f>'Micro-planning'!B6</f>
        <v>MSHPCMU</v>
      </c>
    </row>
    <row r="6" spans="1:7" ht="41.4" customHeight="1" thickBot="1" x14ac:dyDescent="0.35">
      <c r="A6" s="39">
        <v>5</v>
      </c>
      <c r="B6" s="8" t="s">
        <v>52</v>
      </c>
      <c r="C6" s="62">
        <v>45945</v>
      </c>
      <c r="D6" s="63">
        <v>45950</v>
      </c>
      <c r="E6" s="84" t="s">
        <v>68</v>
      </c>
      <c r="F6" s="33" t="str">
        <f>IFERROR(VLOOKUP(MONTH(D6),Feuil1!V:W,2,FALSE),"")</f>
        <v>OCTOBRE</v>
      </c>
      <c r="G6" s="112" t="str">
        <f>'Micro-planning'!B7</f>
        <v>MSHPCMU</v>
      </c>
    </row>
    <row r="7" spans="1:7" ht="31.8" thickBot="1" x14ac:dyDescent="0.35">
      <c r="A7" s="40">
        <v>6</v>
      </c>
      <c r="B7" s="7" t="s">
        <v>19</v>
      </c>
      <c r="C7" s="66">
        <v>45946</v>
      </c>
      <c r="D7" s="67">
        <v>45956</v>
      </c>
      <c r="E7" s="83" t="s">
        <v>69</v>
      </c>
      <c r="F7" s="33" t="str">
        <f>IFERROR(VLOOKUP(MONTH(D7),Feuil1!V:W,2,FALSE),"")</f>
        <v>OCTOBRE</v>
      </c>
      <c r="G7" s="112" t="str">
        <f>'Micro-planning'!B8</f>
        <v>Partenaires techniques</v>
      </c>
    </row>
    <row r="8" spans="1:7" ht="41.4" customHeight="1" thickBot="1" x14ac:dyDescent="0.35">
      <c r="A8" s="39">
        <v>7</v>
      </c>
      <c r="B8" s="8" t="s">
        <v>22</v>
      </c>
      <c r="C8" s="62">
        <v>45946</v>
      </c>
      <c r="D8" s="63">
        <v>45950</v>
      </c>
      <c r="E8" s="84" t="s">
        <v>67</v>
      </c>
      <c r="F8" s="33" t="str">
        <f>IFERROR(VLOOKUP(MONTH(D8),Feuil1!V:W,2,FALSE),"")</f>
        <v>OCTOBRE</v>
      </c>
      <c r="G8" s="112" t="str">
        <f>'Micro-planning'!B9</f>
        <v>MTND</v>
      </c>
    </row>
    <row r="9" spans="1:7" ht="31.8" thickBot="1" x14ac:dyDescent="0.35">
      <c r="A9" s="40">
        <v>8</v>
      </c>
      <c r="B9" s="7" t="s">
        <v>44</v>
      </c>
      <c r="C9" s="66">
        <v>45946</v>
      </c>
      <c r="D9" s="67">
        <v>45947</v>
      </c>
      <c r="E9" s="83" t="s">
        <v>69</v>
      </c>
      <c r="F9" s="33" t="str">
        <f>IFERROR(VLOOKUP(MONTH(D9),Feuil1!V:W,2,FALSE),"")</f>
        <v>OCTOBRE</v>
      </c>
      <c r="G9" s="112" t="str">
        <f>'Micro-planning'!B10</f>
        <v>GTT</v>
      </c>
    </row>
    <row r="10" spans="1:7" ht="43.2" customHeight="1" thickBot="1" x14ac:dyDescent="0.35">
      <c r="A10" s="39">
        <v>9</v>
      </c>
      <c r="B10" s="8" t="s">
        <v>23</v>
      </c>
      <c r="C10" s="62">
        <v>45946</v>
      </c>
      <c r="D10" s="63">
        <v>45991</v>
      </c>
      <c r="E10" s="84" t="s">
        <v>67</v>
      </c>
      <c r="F10" s="33" t="str">
        <f>IFERROR(VLOOKUP(MONTH(D10),Feuil1!V:W,2,FALSE),"")</f>
        <v>NOVEMBRE</v>
      </c>
      <c r="G10" s="112" t="str">
        <f>'Micro-planning'!B11</f>
        <v>GTT</v>
      </c>
    </row>
    <row r="11" spans="1:7" ht="29.4" customHeight="1" thickBot="1" x14ac:dyDescent="0.35">
      <c r="A11" s="40">
        <v>10</v>
      </c>
      <c r="B11" s="7" t="s">
        <v>50</v>
      </c>
      <c r="C11" s="66">
        <v>45946</v>
      </c>
      <c r="D11" s="67">
        <v>45947</v>
      </c>
      <c r="E11" s="83" t="s">
        <v>68</v>
      </c>
      <c r="F11" s="33" t="str">
        <f>IFERROR(VLOOKUP(MONTH(D11),Feuil1!V:W,2,FALSE),"")</f>
        <v>OCTOBRE</v>
      </c>
      <c r="G11" s="112" t="str">
        <f>'Micro-planning'!B12</f>
        <v>GTT</v>
      </c>
    </row>
    <row r="12" spans="1:7" ht="41.4" customHeight="1" thickBot="1" x14ac:dyDescent="0.35">
      <c r="A12" s="39">
        <v>11</v>
      </c>
      <c r="B12" s="8" t="s">
        <v>51</v>
      </c>
      <c r="C12" s="62">
        <v>45946</v>
      </c>
      <c r="D12" s="63">
        <v>45947</v>
      </c>
      <c r="E12" s="84" t="s">
        <v>67</v>
      </c>
      <c r="F12" s="33" t="str">
        <f>IFERROR(VLOOKUP(MONTH(D12),Feuil1!V:W,2,FALSE),"")</f>
        <v>OCTOBRE</v>
      </c>
      <c r="G12" s="112" t="str">
        <f>'Micro-planning'!B13</f>
        <v>Partenaires techniques</v>
      </c>
    </row>
    <row r="13" spans="1:7" ht="31.8" thickBot="1" x14ac:dyDescent="0.35">
      <c r="A13" s="40">
        <v>12</v>
      </c>
      <c r="B13" s="7" t="s">
        <v>40</v>
      </c>
      <c r="C13" s="66">
        <v>45950</v>
      </c>
      <c r="D13" s="67">
        <v>45951</v>
      </c>
      <c r="E13" s="83" t="s">
        <v>55</v>
      </c>
      <c r="F13" s="33" t="str">
        <f>IFERROR(VLOOKUP(MONTH(D13),Feuil1!V:W,2,FALSE),"")</f>
        <v>OCTOBRE</v>
      </c>
      <c r="G13" s="112" t="str">
        <f>'Micro-planning'!B14</f>
        <v>Partenaires techniques</v>
      </c>
    </row>
    <row r="14" spans="1:7" ht="41.4" customHeight="1" thickBot="1" x14ac:dyDescent="0.35">
      <c r="A14" s="39">
        <v>13</v>
      </c>
      <c r="B14" s="8" t="s">
        <v>24</v>
      </c>
      <c r="C14" s="62">
        <v>45951</v>
      </c>
      <c r="D14" s="63">
        <v>45954</v>
      </c>
      <c r="E14" s="84" t="s">
        <v>68</v>
      </c>
      <c r="F14" s="33" t="str">
        <f>IFERROR(VLOOKUP(MONTH(D14),Feuil1!V:W,2,FALSE),"")</f>
        <v>OCTOBRE</v>
      </c>
      <c r="G14" s="112" t="str">
        <f>'Micro-planning'!B15</f>
        <v>MTND</v>
      </c>
    </row>
    <row r="15" spans="1:7" ht="31.8" thickBot="1" x14ac:dyDescent="0.35">
      <c r="A15" s="40">
        <v>14</v>
      </c>
      <c r="B15" s="7" t="s">
        <v>20</v>
      </c>
      <c r="C15" s="66">
        <v>45957</v>
      </c>
      <c r="D15" s="67">
        <v>45958</v>
      </c>
      <c r="E15" s="83" t="s">
        <v>69</v>
      </c>
      <c r="F15" s="33" t="str">
        <f>IFERROR(VLOOKUP(MONTH(D15),Feuil1!V:W,2,FALSE),"")</f>
        <v>OCTOBRE</v>
      </c>
      <c r="G15" s="112" t="str">
        <f>'Micro-planning'!B16</f>
        <v>Partenaires techniques</v>
      </c>
    </row>
    <row r="16" spans="1:7" ht="41.4" customHeight="1" thickBot="1" x14ac:dyDescent="0.35">
      <c r="A16" s="39">
        <v>15</v>
      </c>
      <c r="B16" s="8" t="s">
        <v>47</v>
      </c>
      <c r="C16" s="62">
        <v>45957</v>
      </c>
      <c r="D16" s="63">
        <v>45958</v>
      </c>
      <c r="E16" s="84" t="s">
        <v>67</v>
      </c>
      <c r="F16" s="33" t="str">
        <f>IFERROR(VLOOKUP(MONTH(D16),Feuil1!V:W,2,FALSE),"")</f>
        <v>OCTOBRE</v>
      </c>
      <c r="G16" s="112" t="str">
        <f>'Micro-planning'!B17</f>
        <v>MEPS</v>
      </c>
    </row>
    <row r="17" spans="1:7" ht="31.8" thickBot="1" x14ac:dyDescent="0.35">
      <c r="A17" s="40">
        <v>16</v>
      </c>
      <c r="B17" s="7" t="s">
        <v>48</v>
      </c>
      <c r="C17" s="66">
        <v>45957</v>
      </c>
      <c r="D17" s="67">
        <v>45958</v>
      </c>
      <c r="E17" s="83" t="s">
        <v>69</v>
      </c>
      <c r="F17" s="33" t="str">
        <f>IFERROR(VLOOKUP(MONTH(D17),Feuil1!V:W,2,FALSE),"")</f>
        <v>OCTOBRE</v>
      </c>
      <c r="G17" s="112" t="str">
        <f>'Micro-planning'!B18</f>
        <v>MEPS</v>
      </c>
    </row>
    <row r="18" spans="1:7" ht="41.4" customHeight="1" thickBot="1" x14ac:dyDescent="0.35">
      <c r="A18" s="39">
        <v>17</v>
      </c>
      <c r="B18" s="8" t="s">
        <v>49</v>
      </c>
      <c r="C18" s="62">
        <v>45957</v>
      </c>
      <c r="D18" s="63">
        <v>45958</v>
      </c>
      <c r="E18" s="84" t="s">
        <v>67</v>
      </c>
      <c r="F18" s="33" t="str">
        <f>IFERROR(VLOOKUP(MONTH(D18),Feuil1!V:W,2,FALSE),"")</f>
        <v>OCTOBRE</v>
      </c>
      <c r="G18" s="112" t="str">
        <f>'Micro-planning'!B19</f>
        <v>MEPS</v>
      </c>
    </row>
    <row r="19" spans="1:7" ht="47.4" thickBot="1" x14ac:dyDescent="0.35">
      <c r="A19" s="40">
        <v>18</v>
      </c>
      <c r="B19" s="7" t="s">
        <v>28</v>
      </c>
      <c r="C19" s="68">
        <v>45958</v>
      </c>
      <c r="D19" s="69">
        <v>45963</v>
      </c>
      <c r="E19" s="83" t="s">
        <v>68</v>
      </c>
      <c r="F19" s="33" t="str">
        <f>IFERROR(VLOOKUP(MONTH(D19),Feuil1!V:W,2,FALSE),"")</f>
        <v>NOVEMBRE</v>
      </c>
      <c r="G19" s="112" t="str">
        <f>'Micro-planning'!B20</f>
        <v>MSHPCMU / Partenaires techniques</v>
      </c>
    </row>
    <row r="20" spans="1:7" ht="41.4" customHeight="1" thickBot="1" x14ac:dyDescent="0.35">
      <c r="A20" s="39">
        <v>19</v>
      </c>
      <c r="B20" s="8" t="s">
        <v>45</v>
      </c>
      <c r="C20" s="70">
        <v>45962</v>
      </c>
      <c r="D20" s="71">
        <v>46081</v>
      </c>
      <c r="E20" s="84" t="s">
        <v>55</v>
      </c>
      <c r="F20" s="33" t="str">
        <f>IFERROR(VLOOKUP(MONTH(D20),Feuil1!V:W,2,FALSE),"")</f>
        <v>FÉVRIER</v>
      </c>
      <c r="G20" s="112" t="str">
        <f>'Micro-planning'!B21</f>
        <v>MEPS</v>
      </c>
    </row>
    <row r="21" spans="1:7" ht="31.8" thickBot="1" x14ac:dyDescent="0.35">
      <c r="A21" s="40">
        <v>20</v>
      </c>
      <c r="B21" s="7" t="s">
        <v>42</v>
      </c>
      <c r="C21" s="68">
        <v>45963</v>
      </c>
      <c r="D21" s="69">
        <v>45991</v>
      </c>
      <c r="E21" s="83" t="s">
        <v>55</v>
      </c>
      <c r="F21" s="33" t="str">
        <f>IFERROR(VLOOKUP(MONTH(D21),Feuil1!V:W,2,FALSE),"")</f>
        <v>NOVEMBRE</v>
      </c>
      <c r="G21" s="112" t="str">
        <f>'Micro-planning'!B22</f>
        <v>MSHPCMU / Partenaires techniques</v>
      </c>
    </row>
    <row r="22" spans="1:7" ht="37.799999999999997" customHeight="1" thickBot="1" x14ac:dyDescent="0.35">
      <c r="A22" s="39">
        <v>21</v>
      </c>
      <c r="B22" s="8" t="s">
        <v>58</v>
      </c>
      <c r="C22" s="70">
        <v>45995</v>
      </c>
      <c r="D22" s="71">
        <v>45996</v>
      </c>
      <c r="E22" s="84" t="s">
        <v>55</v>
      </c>
      <c r="F22" s="33" t="str">
        <f>IFERROR(VLOOKUP(MONTH(D22),Feuil1!V:W,2,FALSE),"")</f>
        <v>DÉCEMBRE</v>
      </c>
      <c r="G22" s="112" t="str">
        <f>'Micro-planning'!B23</f>
        <v>GTT</v>
      </c>
    </row>
    <row r="23" spans="1:7" ht="37.799999999999997" customHeight="1" thickBot="1" x14ac:dyDescent="0.35">
      <c r="A23" s="40">
        <v>22</v>
      </c>
      <c r="B23" s="7" t="s">
        <v>59</v>
      </c>
      <c r="C23" s="68">
        <v>45999</v>
      </c>
      <c r="D23" s="69">
        <v>46030</v>
      </c>
      <c r="E23" s="83" t="s">
        <v>55</v>
      </c>
      <c r="F23" s="33" t="str">
        <f>IFERROR(VLOOKUP(MONTH(D23),Feuil1!V:W,2,FALSE),"")</f>
        <v>JANVIER</v>
      </c>
      <c r="G23" s="112" t="str">
        <f>'Micro-planning'!B24</f>
        <v>MHSPCM / MEPS / Partenaires techniques</v>
      </c>
    </row>
    <row r="24" spans="1:7" ht="37.799999999999997" customHeight="1" thickBot="1" x14ac:dyDescent="0.35">
      <c r="A24" s="39">
        <v>23</v>
      </c>
      <c r="B24" s="8" t="s">
        <v>61</v>
      </c>
      <c r="C24" s="70">
        <v>46037</v>
      </c>
      <c r="D24" s="71">
        <v>46053</v>
      </c>
      <c r="E24" s="84" t="s">
        <v>67</v>
      </c>
      <c r="F24" s="33" t="str">
        <f>IFERROR(VLOOKUP(MONTH(D24),Feuil1!V:W,2,FALSE),"")</f>
        <v>JANVIER</v>
      </c>
      <c r="G24" s="112" t="str">
        <f>'Micro-planning'!B25</f>
        <v>Partenaires techniques</v>
      </c>
    </row>
    <row r="25" spans="1:7" ht="37.799999999999997" customHeight="1" thickBot="1" x14ac:dyDescent="0.35">
      <c r="A25" s="40">
        <v>24</v>
      </c>
      <c r="B25" s="7" t="s">
        <v>60</v>
      </c>
      <c r="C25" s="68">
        <v>46058</v>
      </c>
      <c r="D25" s="69">
        <v>46059</v>
      </c>
      <c r="E25" s="83" t="s">
        <v>67</v>
      </c>
      <c r="F25" s="33" t="str">
        <f>IFERROR(VLOOKUP(MONTH(D25),Feuil1!V:W,2,FALSE),"")</f>
        <v>FÉVRIER</v>
      </c>
      <c r="G25" s="112" t="str">
        <f>'Micro-planning'!B26</f>
        <v>Partenaires techniques</v>
      </c>
    </row>
  </sheetData>
  <autoFilter ref="A1:E1" xr:uid="{AE9AE4EC-E026-4AF1-9AA8-BFC31EB74FC9}"/>
  <phoneticPr fontId="1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Micro-planning</vt:lpstr>
      <vt:lpstr>Macro-planning</vt:lpstr>
      <vt:lpstr>Macro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Yao KOUAKOU</dc:creator>
  <cp:lastModifiedBy>Ali</cp:lastModifiedBy>
  <dcterms:created xsi:type="dcterms:W3CDTF">2025-08-22T12:33:29Z</dcterms:created>
  <dcterms:modified xsi:type="dcterms:W3CDTF">2025-10-25T19:37:47Z</dcterms:modified>
</cp:coreProperties>
</file>